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D:\UPWORK PORTOFOLIO DEDDY\"/>
    </mc:Choice>
  </mc:AlternateContent>
  <xr:revisionPtr revIDLastSave="0" documentId="13_ncr:1_{28EC1686-C76E-4493-A9D5-106D607B6C51}" xr6:coauthVersionLast="47" xr6:coauthVersionMax="47" xr10:uidLastSave="{00000000-0000-0000-0000-000000000000}"/>
  <bookViews>
    <workbookView xWindow="-120" yWindow="-120" windowWidth="29040" windowHeight="15720" activeTab="1" xr2:uid="{919C5702-7FD5-4046-B64A-2175858E4C17}"/>
  </bookViews>
  <sheets>
    <sheet name="Analysis" sheetId="1" r:id="rId1"/>
    <sheet name="temporary Dashboards" sheetId="3" r:id="rId2"/>
    <sheet name="KPI" sheetId="2" r:id="rId3"/>
  </sheets>
  <definedNames>
    <definedName name="Slicer_Year">#N/A</definedName>
  </definedNames>
  <calcPr calcId="191029"/>
  <pivotCaches>
    <pivotCache cacheId="39" r:id="rId4"/>
    <pivotCache cacheId="42" r:id="rId5"/>
    <pivotCache cacheId="45" r:id="rId6"/>
    <pivotCache cacheId="48" r:id="rId7"/>
    <pivotCache cacheId="51" r:id="rId8"/>
    <pivotCache cacheId="54" r:id="rId9"/>
    <pivotCache cacheId="57" r:id="rId10"/>
    <pivotCache cacheId="60" r:id="rId11"/>
    <pivotCache cacheId="63" r:id="rId12"/>
  </pivotCaches>
  <extLst>
    <ext xmlns:x14="http://schemas.microsoft.com/office/spreadsheetml/2009/9/main" uri="{876F7934-8845-4945-9796-88D515C7AA90}">
      <x14:pivotCaches>
        <pivotCache cacheId="9"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91bedde1-0c43-4077-84d2-ab1a6e1cd3ef" name="customers" connection="Query - customers"/>
          <x15:modelTable id="orders_5efa9839-1d07-4038-b182-b65ed3a2cf67" name="orders" connection="Query - orders"/>
          <x15:modelTable id="products_660a2bc2-4c51-4c7f-a1c5-37beb97e1b12" name="products" connection="Query - products"/>
          <x15:modelTable id="Date_c082b051-06cd-4958-89ce-ffbec01a23e3" name="Date" connection="Query - Date"/>
        </x15:modelTables>
        <x15:modelRelationships>
          <x15:modelRelationship fromTable="orders" fromColumn="Customer ID" toTable="customers" toColumn="Customer ID"/>
          <x15:modelRelationship fromTable="orders" fromColumn="Product ID" toTable="products" toColumn="Product ID"/>
          <x15:modelRelationship fromTable="orders" fromColumn="Order Date"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1" l="1"/>
  <c r="O6" i="1"/>
  <c r="O4" i="1"/>
  <c r="D21" i="1"/>
  <c r="D22" i="1"/>
  <c r="D23" i="1"/>
  <c r="D20" i="1"/>
  <c r="D13" i="1"/>
  <c r="D14" i="1"/>
  <c r="D15" i="1"/>
  <c r="D12" i="1"/>
  <c r="D7" i="1"/>
  <c r="D5" i="1"/>
  <c r="D6" i="1"/>
  <c r="D4" i="1"/>
  <c r="T12" i="1"/>
  <c r="U12" i="1"/>
  <c r="T13" i="1"/>
  <c r="U13" i="1"/>
  <c r="T14" i="1"/>
  <c r="U14" i="1"/>
  <c r="T15" i="1"/>
  <c r="U15" i="1"/>
  <c r="T16" i="1"/>
  <c r="U16" i="1"/>
  <c r="T17" i="1"/>
  <c r="U17" i="1"/>
  <c r="T18" i="1"/>
  <c r="U18" i="1"/>
  <c r="T19" i="1"/>
  <c r="U19" i="1"/>
  <c r="T20" i="1"/>
  <c r="U20" i="1"/>
  <c r="T21" i="1"/>
  <c r="U21" i="1"/>
  <c r="T22" i="1"/>
  <c r="U22" i="1"/>
  <c r="T23" i="1"/>
  <c r="U23" i="1"/>
  <c r="T24" i="1"/>
  <c r="U24" i="1"/>
  <c r="T25" i="1"/>
  <c r="U25" i="1"/>
  <c r="T26" i="1"/>
  <c r="U26" i="1"/>
  <c r="T27" i="1"/>
  <c r="U27" i="1"/>
  <c r="T28" i="1"/>
  <c r="U28" i="1"/>
  <c r="T29" i="1"/>
  <c r="U29" i="1"/>
  <c r="T30" i="1"/>
  <c r="U30" i="1"/>
  <c r="T31" i="1"/>
  <c r="U31" i="1"/>
  <c r="T32" i="1"/>
  <c r="U32" i="1"/>
  <c r="T33" i="1"/>
  <c r="U33" i="1"/>
  <c r="T34" i="1"/>
  <c r="U34" i="1"/>
  <c r="T35" i="1"/>
  <c r="U35" i="1"/>
  <c r="T36" i="1"/>
  <c r="U36" i="1"/>
  <c r="T37" i="1"/>
  <c r="U37" i="1"/>
  <c r="T38" i="1"/>
  <c r="U38" i="1"/>
  <c r="T39" i="1"/>
  <c r="U39" i="1"/>
  <c r="T40" i="1"/>
  <c r="U40" i="1"/>
  <c r="T41" i="1"/>
  <c r="U41" i="1"/>
  <c r="T42" i="1"/>
  <c r="U42" i="1"/>
  <c r="T43" i="1"/>
  <c r="U43" i="1"/>
  <c r="T44" i="1"/>
  <c r="U44" i="1"/>
  <c r="T45" i="1"/>
  <c r="U45" i="1"/>
  <c r="T46" i="1"/>
  <c r="U46" i="1"/>
  <c r="T47" i="1"/>
  <c r="U47" i="1"/>
  <c r="T48" i="1"/>
  <c r="U48" i="1"/>
  <c r="T49" i="1"/>
  <c r="U49" i="1"/>
  <c r="T50" i="1"/>
  <c r="U50" i="1"/>
  <c r="T51" i="1"/>
  <c r="U51" i="1"/>
  <c r="T52" i="1"/>
  <c r="U52" i="1"/>
  <c r="T53" i="1"/>
  <c r="U53" i="1"/>
  <c r="T54" i="1"/>
  <c r="U54" i="1"/>
  <c r="T55" i="1"/>
  <c r="U55" i="1"/>
  <c r="T56" i="1"/>
  <c r="U56" i="1"/>
  <c r="T57" i="1"/>
  <c r="U57" i="1"/>
  <c r="T58" i="1"/>
  <c r="U58" i="1"/>
  <c r="T59" i="1"/>
  <c r="U59" i="1"/>
  <c r="T60" i="1"/>
  <c r="U60" i="1"/>
  <c r="T61" i="1"/>
  <c r="U61" i="1"/>
  <c r="T62" i="1"/>
  <c r="U62" i="1"/>
  <c r="T63" i="1"/>
  <c r="U63" i="1"/>
  <c r="T64" i="1"/>
  <c r="U64" i="1"/>
  <c r="T65" i="1"/>
  <c r="U65" i="1"/>
  <c r="T66" i="1"/>
  <c r="U66" i="1"/>
  <c r="T67" i="1"/>
  <c r="U67" i="1"/>
  <c r="T68" i="1"/>
  <c r="U68" i="1"/>
  <c r="T69" i="1"/>
  <c r="U69" i="1"/>
  <c r="T70" i="1"/>
  <c r="U70" i="1"/>
  <c r="T71" i="1"/>
  <c r="U71" i="1"/>
  <c r="T72" i="1"/>
  <c r="U72" i="1"/>
  <c r="T73" i="1"/>
  <c r="U73" i="1"/>
  <c r="T74" i="1"/>
  <c r="U74" i="1"/>
  <c r="T75" i="1"/>
  <c r="U75" i="1"/>
  <c r="T76" i="1"/>
  <c r="U76" i="1"/>
  <c r="T77" i="1"/>
  <c r="U77" i="1"/>
  <c r="T78" i="1"/>
  <c r="U78" i="1"/>
  <c r="T79" i="1"/>
  <c r="U79" i="1"/>
  <c r="T80" i="1"/>
  <c r="U80" i="1"/>
  <c r="T81" i="1"/>
  <c r="U81" i="1"/>
  <c r="T82" i="1"/>
  <c r="U82" i="1"/>
  <c r="T83" i="1"/>
  <c r="U83" i="1"/>
  <c r="T84" i="1"/>
  <c r="U84" i="1"/>
  <c r="T85" i="1"/>
  <c r="U85" i="1"/>
  <c r="T86" i="1"/>
  <c r="U86" i="1"/>
  <c r="T87" i="1"/>
  <c r="U87" i="1"/>
  <c r="T88" i="1"/>
  <c r="U88" i="1"/>
  <c r="T89" i="1"/>
  <c r="U89" i="1"/>
  <c r="T90" i="1"/>
  <c r="U90" i="1"/>
  <c r="T91" i="1"/>
  <c r="U91" i="1"/>
  <c r="T92" i="1"/>
  <c r="U92" i="1"/>
  <c r="T93" i="1"/>
  <c r="U93" i="1"/>
  <c r="T94" i="1"/>
  <c r="U94" i="1"/>
  <c r="T95" i="1"/>
  <c r="U95" i="1"/>
  <c r="T96" i="1"/>
  <c r="U96" i="1"/>
  <c r="T97" i="1"/>
  <c r="U97" i="1"/>
  <c r="T98" i="1"/>
  <c r="U98" i="1"/>
  <c r="T99" i="1"/>
  <c r="U99" i="1"/>
  <c r="T100" i="1"/>
  <c r="U100" i="1"/>
  <c r="T101" i="1"/>
  <c r="U101" i="1"/>
  <c r="T102" i="1"/>
  <c r="U102" i="1"/>
  <c r="T103" i="1"/>
  <c r="U103" i="1"/>
  <c r="T104" i="1"/>
  <c r="U104" i="1"/>
  <c r="T105" i="1"/>
  <c r="U105" i="1"/>
  <c r="T106" i="1"/>
  <c r="U106" i="1"/>
  <c r="T107" i="1"/>
  <c r="U107" i="1"/>
  <c r="T108" i="1"/>
  <c r="U108" i="1"/>
  <c r="T109" i="1"/>
  <c r="U109" i="1"/>
  <c r="T110" i="1"/>
  <c r="U110" i="1"/>
  <c r="T111" i="1"/>
  <c r="U111" i="1"/>
  <c r="T112" i="1"/>
  <c r="U112" i="1"/>
  <c r="T113" i="1"/>
  <c r="U113" i="1"/>
  <c r="T114" i="1"/>
  <c r="U114" i="1"/>
  <c r="T115" i="1"/>
  <c r="U115" i="1"/>
  <c r="T116" i="1"/>
  <c r="U116" i="1"/>
  <c r="T117" i="1"/>
  <c r="U117" i="1"/>
  <c r="T118" i="1"/>
  <c r="U118" i="1"/>
  <c r="T119" i="1"/>
  <c r="U119" i="1"/>
  <c r="T120" i="1"/>
  <c r="U120" i="1"/>
  <c r="T121" i="1"/>
  <c r="U121" i="1"/>
  <c r="T122" i="1"/>
  <c r="U122" i="1"/>
  <c r="T123" i="1"/>
  <c r="U123" i="1"/>
  <c r="T124" i="1"/>
  <c r="U124" i="1"/>
  <c r="T125" i="1"/>
  <c r="U125" i="1"/>
  <c r="T126" i="1"/>
  <c r="U126" i="1"/>
  <c r="T127" i="1"/>
  <c r="U127" i="1"/>
  <c r="T128" i="1"/>
  <c r="U128" i="1"/>
  <c r="T129" i="1"/>
  <c r="U129" i="1"/>
  <c r="T130" i="1"/>
  <c r="U130" i="1"/>
  <c r="T131" i="1"/>
  <c r="U131" i="1"/>
  <c r="T132" i="1"/>
  <c r="U132" i="1"/>
  <c r="T133" i="1"/>
  <c r="U133" i="1"/>
  <c r="T134" i="1"/>
  <c r="U134" i="1"/>
  <c r="T135" i="1"/>
  <c r="U135" i="1"/>
  <c r="T136" i="1"/>
  <c r="U136" i="1"/>
  <c r="T137" i="1"/>
  <c r="U137" i="1"/>
  <c r="T138" i="1"/>
  <c r="U138" i="1"/>
  <c r="T139" i="1"/>
  <c r="U139" i="1"/>
  <c r="T140" i="1"/>
  <c r="U140" i="1"/>
  <c r="T141" i="1"/>
  <c r="U141" i="1"/>
  <c r="T142" i="1"/>
  <c r="U142" i="1"/>
  <c r="T143" i="1"/>
  <c r="U143" i="1"/>
  <c r="T144" i="1"/>
  <c r="U144" i="1"/>
  <c r="T145" i="1"/>
  <c r="U145" i="1"/>
  <c r="T146" i="1"/>
  <c r="U146" i="1"/>
  <c r="T147" i="1"/>
  <c r="U147" i="1"/>
  <c r="T148" i="1"/>
  <c r="U148" i="1"/>
  <c r="T149" i="1"/>
  <c r="U149" i="1"/>
  <c r="T150" i="1"/>
  <c r="U150" i="1"/>
  <c r="T151" i="1"/>
  <c r="U151" i="1"/>
  <c r="T152" i="1"/>
  <c r="U152" i="1"/>
  <c r="T153" i="1"/>
  <c r="U153" i="1"/>
  <c r="T154" i="1"/>
  <c r="U154" i="1"/>
  <c r="T155" i="1"/>
  <c r="U155" i="1"/>
  <c r="T156" i="1"/>
  <c r="U156" i="1"/>
  <c r="T157" i="1"/>
  <c r="U157" i="1"/>
  <c r="T158" i="1"/>
  <c r="U158" i="1"/>
  <c r="T159" i="1"/>
  <c r="U159" i="1"/>
  <c r="T160" i="1"/>
  <c r="U160" i="1"/>
  <c r="T161" i="1"/>
  <c r="U161" i="1"/>
  <c r="T162" i="1"/>
  <c r="U162" i="1"/>
  <c r="T163" i="1"/>
  <c r="U163" i="1"/>
  <c r="T164" i="1"/>
  <c r="U164" i="1"/>
  <c r="T165" i="1"/>
  <c r="U165" i="1"/>
  <c r="T166" i="1"/>
  <c r="U166" i="1"/>
  <c r="T167" i="1"/>
  <c r="U167" i="1"/>
  <c r="T168" i="1"/>
  <c r="U168" i="1"/>
  <c r="T169" i="1"/>
  <c r="U169" i="1"/>
  <c r="T170" i="1"/>
  <c r="U170" i="1"/>
  <c r="T171" i="1"/>
  <c r="U171" i="1"/>
  <c r="T172" i="1"/>
  <c r="U172" i="1"/>
  <c r="T173" i="1"/>
  <c r="U173" i="1"/>
  <c r="T174" i="1"/>
  <c r="U174" i="1"/>
  <c r="T175" i="1"/>
  <c r="U175" i="1"/>
  <c r="T176" i="1"/>
  <c r="U176" i="1"/>
  <c r="T177" i="1"/>
  <c r="U177" i="1"/>
  <c r="T178" i="1"/>
  <c r="U178" i="1"/>
  <c r="T179" i="1"/>
  <c r="U179" i="1"/>
  <c r="T180" i="1"/>
  <c r="U180" i="1"/>
  <c r="T181" i="1"/>
  <c r="U181" i="1"/>
  <c r="T182" i="1"/>
  <c r="U182" i="1"/>
  <c r="T183" i="1"/>
  <c r="U183" i="1"/>
  <c r="T184" i="1"/>
  <c r="U184" i="1"/>
  <c r="T185" i="1"/>
  <c r="U185" i="1"/>
  <c r="T186" i="1"/>
  <c r="U186" i="1"/>
  <c r="T187" i="1"/>
  <c r="U187" i="1"/>
  <c r="T188" i="1"/>
  <c r="U188" i="1"/>
  <c r="T189" i="1"/>
  <c r="U189" i="1"/>
  <c r="T190" i="1"/>
  <c r="U190" i="1"/>
  <c r="T191" i="1"/>
  <c r="U191" i="1"/>
  <c r="T192" i="1"/>
  <c r="U192" i="1"/>
  <c r="T193" i="1"/>
  <c r="U193" i="1"/>
  <c r="T194" i="1"/>
  <c r="U194" i="1"/>
  <c r="T195" i="1"/>
  <c r="U195" i="1"/>
  <c r="T196" i="1"/>
  <c r="U196" i="1"/>
  <c r="T197" i="1"/>
  <c r="U197" i="1"/>
  <c r="T198" i="1"/>
  <c r="U198" i="1"/>
  <c r="T199" i="1"/>
  <c r="U199" i="1"/>
  <c r="T200" i="1"/>
  <c r="U200" i="1"/>
  <c r="T201" i="1"/>
  <c r="U201" i="1"/>
  <c r="T202" i="1"/>
  <c r="U202" i="1"/>
  <c r="T203" i="1"/>
  <c r="U203" i="1"/>
  <c r="T204" i="1"/>
  <c r="U204" i="1"/>
  <c r="T205" i="1"/>
  <c r="U205" i="1"/>
  <c r="T206" i="1"/>
  <c r="U206" i="1"/>
  <c r="T207" i="1"/>
  <c r="U207" i="1"/>
  <c r="T208" i="1"/>
  <c r="U208" i="1"/>
  <c r="T209" i="1"/>
  <c r="U209" i="1"/>
  <c r="T210" i="1"/>
  <c r="U210" i="1"/>
  <c r="T211" i="1"/>
  <c r="U211" i="1"/>
  <c r="T212" i="1"/>
  <c r="U212" i="1"/>
  <c r="T213" i="1"/>
  <c r="U213" i="1"/>
  <c r="T214" i="1"/>
  <c r="U214" i="1"/>
  <c r="T215" i="1"/>
  <c r="U215" i="1"/>
  <c r="T216" i="1"/>
  <c r="U216" i="1"/>
  <c r="T217" i="1"/>
  <c r="U217" i="1"/>
  <c r="T218" i="1"/>
  <c r="U218" i="1"/>
  <c r="T219" i="1"/>
  <c r="U219" i="1"/>
  <c r="T220" i="1"/>
  <c r="U220" i="1"/>
  <c r="T221" i="1"/>
  <c r="U221" i="1"/>
  <c r="T222" i="1"/>
  <c r="U222" i="1"/>
  <c r="T223" i="1"/>
  <c r="U223" i="1"/>
  <c r="T224" i="1"/>
  <c r="U224" i="1"/>
  <c r="T225" i="1"/>
  <c r="U225" i="1"/>
  <c r="T226" i="1"/>
  <c r="U226" i="1"/>
  <c r="T227" i="1"/>
  <c r="U227" i="1"/>
  <c r="T228" i="1"/>
  <c r="U228" i="1"/>
  <c r="T229" i="1"/>
  <c r="U229" i="1"/>
  <c r="T230" i="1"/>
  <c r="U230" i="1"/>
  <c r="T231" i="1"/>
  <c r="U231" i="1"/>
  <c r="T232" i="1"/>
  <c r="U232" i="1"/>
  <c r="T233" i="1"/>
  <c r="U233" i="1"/>
  <c r="T234" i="1"/>
  <c r="U234" i="1"/>
  <c r="T235" i="1"/>
  <c r="U235" i="1"/>
  <c r="T236" i="1"/>
  <c r="U236" i="1"/>
  <c r="T237" i="1"/>
  <c r="U237" i="1"/>
  <c r="T238" i="1"/>
  <c r="U238" i="1"/>
  <c r="T239" i="1"/>
  <c r="U239" i="1"/>
  <c r="T240" i="1"/>
  <c r="U240" i="1"/>
  <c r="T241" i="1"/>
  <c r="U241" i="1"/>
  <c r="T242" i="1"/>
  <c r="U242" i="1"/>
  <c r="T243" i="1"/>
  <c r="U243" i="1"/>
  <c r="T244" i="1"/>
  <c r="U244" i="1"/>
  <c r="T245" i="1"/>
  <c r="U245" i="1"/>
  <c r="T246" i="1"/>
  <c r="U246" i="1"/>
  <c r="T247" i="1"/>
  <c r="U247" i="1"/>
  <c r="T248" i="1"/>
  <c r="U248" i="1"/>
  <c r="T249" i="1"/>
  <c r="U249" i="1"/>
  <c r="T250" i="1"/>
  <c r="U250" i="1"/>
  <c r="T251" i="1"/>
  <c r="U251" i="1"/>
  <c r="T252" i="1"/>
  <c r="U252" i="1"/>
  <c r="T253" i="1"/>
  <c r="U253" i="1"/>
  <c r="T254" i="1"/>
  <c r="U254" i="1"/>
  <c r="T255" i="1"/>
  <c r="U255" i="1"/>
  <c r="T256" i="1"/>
  <c r="U256" i="1"/>
  <c r="T257" i="1"/>
  <c r="U257" i="1"/>
  <c r="T258" i="1"/>
  <c r="U258" i="1"/>
  <c r="T259" i="1"/>
  <c r="U259" i="1"/>
  <c r="T260" i="1"/>
  <c r="U260" i="1"/>
  <c r="T261" i="1"/>
  <c r="U261" i="1"/>
  <c r="T262" i="1"/>
  <c r="U262" i="1"/>
  <c r="T263" i="1"/>
  <c r="U263" i="1"/>
  <c r="T264" i="1"/>
  <c r="U264" i="1"/>
  <c r="T265" i="1"/>
  <c r="U265" i="1"/>
  <c r="T266" i="1"/>
  <c r="U266" i="1"/>
  <c r="T267" i="1"/>
  <c r="U267" i="1"/>
  <c r="T268" i="1"/>
  <c r="U268" i="1"/>
  <c r="T269" i="1"/>
  <c r="U269" i="1"/>
  <c r="T270" i="1"/>
  <c r="U270" i="1"/>
  <c r="T271" i="1"/>
  <c r="U271" i="1"/>
  <c r="T272" i="1"/>
  <c r="U272" i="1"/>
  <c r="T273" i="1"/>
  <c r="U273" i="1"/>
  <c r="T274" i="1"/>
  <c r="U274" i="1"/>
  <c r="T275" i="1"/>
  <c r="U275" i="1"/>
  <c r="T276" i="1"/>
  <c r="U276" i="1"/>
  <c r="T277" i="1"/>
  <c r="U277" i="1"/>
  <c r="T278" i="1"/>
  <c r="U278" i="1"/>
  <c r="T279" i="1"/>
  <c r="U279" i="1"/>
  <c r="T280" i="1"/>
  <c r="U280" i="1"/>
  <c r="T281" i="1"/>
  <c r="U281" i="1"/>
  <c r="T282" i="1"/>
  <c r="U282" i="1"/>
  <c r="T283" i="1"/>
  <c r="U283" i="1"/>
  <c r="T284" i="1"/>
  <c r="U284" i="1"/>
  <c r="T285" i="1"/>
  <c r="U285" i="1"/>
  <c r="T286" i="1"/>
  <c r="U286" i="1"/>
  <c r="T287" i="1"/>
  <c r="U287" i="1"/>
  <c r="T288" i="1"/>
  <c r="U288" i="1"/>
  <c r="T289" i="1"/>
  <c r="U289" i="1"/>
  <c r="T290" i="1"/>
  <c r="U290" i="1"/>
  <c r="T291" i="1"/>
  <c r="U291" i="1"/>
  <c r="T292" i="1"/>
  <c r="U292" i="1"/>
  <c r="T293" i="1"/>
  <c r="U293" i="1"/>
  <c r="T294" i="1"/>
  <c r="U294" i="1"/>
  <c r="T295" i="1"/>
  <c r="U295" i="1"/>
  <c r="T296" i="1"/>
  <c r="U296" i="1"/>
  <c r="T297" i="1"/>
  <c r="U297" i="1"/>
  <c r="T298" i="1"/>
  <c r="U298" i="1"/>
  <c r="T299" i="1"/>
  <c r="U299" i="1"/>
  <c r="T300" i="1"/>
  <c r="U300" i="1"/>
  <c r="T301" i="1"/>
  <c r="U301" i="1"/>
  <c r="T302" i="1"/>
  <c r="U302" i="1"/>
  <c r="T303" i="1"/>
  <c r="U303" i="1"/>
  <c r="T304" i="1"/>
  <c r="U304" i="1"/>
  <c r="T305" i="1"/>
  <c r="U305" i="1"/>
  <c r="T306" i="1"/>
  <c r="U306" i="1"/>
  <c r="T307" i="1"/>
  <c r="U307" i="1"/>
  <c r="T308" i="1"/>
  <c r="U308" i="1"/>
  <c r="T309" i="1"/>
  <c r="U309" i="1"/>
  <c r="T310" i="1"/>
  <c r="U310" i="1"/>
  <c r="T311" i="1"/>
  <c r="U311" i="1"/>
  <c r="T312" i="1"/>
  <c r="U312" i="1"/>
  <c r="T313" i="1"/>
  <c r="U313" i="1"/>
  <c r="T314" i="1"/>
  <c r="U314" i="1"/>
  <c r="T315" i="1"/>
  <c r="U315" i="1"/>
  <c r="T316" i="1"/>
  <c r="U316" i="1"/>
  <c r="T317" i="1"/>
  <c r="U317" i="1"/>
  <c r="T318" i="1"/>
  <c r="U318" i="1"/>
  <c r="T319" i="1"/>
  <c r="U319" i="1"/>
  <c r="T320" i="1"/>
  <c r="U320" i="1"/>
  <c r="T321" i="1"/>
  <c r="U321" i="1"/>
  <c r="T322" i="1"/>
  <c r="U322" i="1"/>
  <c r="T323" i="1"/>
  <c r="U323" i="1"/>
  <c r="T324" i="1"/>
  <c r="U324" i="1"/>
  <c r="T325" i="1"/>
  <c r="U325" i="1"/>
  <c r="T326" i="1"/>
  <c r="U326" i="1"/>
  <c r="T327" i="1"/>
  <c r="U327" i="1"/>
  <c r="T328" i="1"/>
  <c r="U328" i="1"/>
  <c r="T329" i="1"/>
  <c r="U329" i="1"/>
  <c r="T330" i="1"/>
  <c r="U330" i="1"/>
  <c r="T331" i="1"/>
  <c r="U331" i="1"/>
  <c r="T332" i="1"/>
  <c r="U332" i="1"/>
  <c r="T333" i="1"/>
  <c r="U333" i="1"/>
  <c r="T334" i="1"/>
  <c r="U334" i="1"/>
  <c r="T335" i="1"/>
  <c r="U335" i="1"/>
  <c r="T336" i="1"/>
  <c r="U336" i="1"/>
  <c r="T337" i="1"/>
  <c r="U337" i="1"/>
  <c r="T338" i="1"/>
  <c r="U338" i="1"/>
  <c r="T339" i="1"/>
  <c r="U339" i="1"/>
  <c r="T340" i="1"/>
  <c r="U340" i="1"/>
  <c r="T341" i="1"/>
  <c r="U341" i="1"/>
  <c r="T342" i="1"/>
  <c r="U342" i="1"/>
  <c r="T343" i="1"/>
  <c r="U343" i="1"/>
  <c r="T344" i="1"/>
  <c r="U344" i="1"/>
  <c r="T345" i="1"/>
  <c r="U345" i="1"/>
  <c r="T346" i="1"/>
  <c r="U346" i="1"/>
  <c r="T347" i="1"/>
  <c r="U347" i="1"/>
  <c r="T348" i="1"/>
  <c r="U348" i="1"/>
  <c r="T349" i="1"/>
  <c r="U349" i="1"/>
  <c r="T350" i="1"/>
  <c r="U350" i="1"/>
  <c r="T351" i="1"/>
  <c r="U351" i="1"/>
  <c r="T352" i="1"/>
  <c r="U352" i="1"/>
  <c r="T353" i="1"/>
  <c r="U353" i="1"/>
  <c r="T354" i="1"/>
  <c r="U354" i="1"/>
  <c r="T355" i="1"/>
  <c r="U355" i="1"/>
  <c r="T356" i="1"/>
  <c r="U356" i="1"/>
  <c r="T357" i="1"/>
  <c r="U357" i="1"/>
  <c r="T358" i="1"/>
  <c r="U358" i="1"/>
  <c r="T359" i="1"/>
  <c r="U359" i="1"/>
  <c r="T360" i="1"/>
  <c r="U360" i="1"/>
  <c r="T361" i="1"/>
  <c r="U361" i="1"/>
  <c r="T362" i="1"/>
  <c r="U362" i="1"/>
  <c r="T363" i="1"/>
  <c r="U363" i="1"/>
  <c r="T364" i="1"/>
  <c r="U364" i="1"/>
  <c r="T365" i="1"/>
  <c r="U365" i="1"/>
  <c r="T366" i="1"/>
  <c r="U366" i="1"/>
  <c r="T367" i="1"/>
  <c r="U367" i="1"/>
  <c r="T368" i="1"/>
  <c r="U368" i="1"/>
  <c r="T369" i="1"/>
  <c r="U369" i="1"/>
  <c r="T370" i="1"/>
  <c r="U370" i="1"/>
  <c r="T371" i="1"/>
  <c r="U371" i="1"/>
  <c r="T372" i="1"/>
  <c r="U372" i="1"/>
  <c r="T373" i="1"/>
  <c r="U373" i="1"/>
  <c r="T374" i="1"/>
  <c r="U374" i="1"/>
  <c r="T375" i="1"/>
  <c r="U375" i="1"/>
  <c r="T376" i="1"/>
  <c r="U376" i="1"/>
  <c r="T377" i="1"/>
  <c r="U377" i="1"/>
  <c r="T378" i="1"/>
  <c r="U378" i="1"/>
  <c r="T379" i="1"/>
  <c r="U379" i="1"/>
  <c r="T380" i="1"/>
  <c r="U380" i="1"/>
  <c r="T381" i="1"/>
  <c r="U381" i="1"/>
  <c r="T382" i="1"/>
  <c r="U382" i="1"/>
  <c r="T383" i="1"/>
  <c r="U383" i="1"/>
  <c r="T384" i="1"/>
  <c r="U384" i="1"/>
  <c r="T385" i="1"/>
  <c r="U385" i="1"/>
  <c r="T386" i="1"/>
  <c r="U386" i="1"/>
  <c r="T387" i="1"/>
  <c r="U387" i="1"/>
  <c r="T388" i="1"/>
  <c r="U388" i="1"/>
  <c r="T389" i="1"/>
  <c r="U389" i="1"/>
  <c r="T390" i="1"/>
  <c r="U390" i="1"/>
  <c r="T391" i="1"/>
  <c r="U391" i="1"/>
  <c r="T392" i="1"/>
  <c r="U392" i="1"/>
  <c r="T393" i="1"/>
  <c r="U393" i="1"/>
  <c r="T394" i="1"/>
  <c r="U394" i="1"/>
  <c r="T395" i="1"/>
  <c r="U395" i="1"/>
  <c r="T396" i="1"/>
  <c r="U396" i="1"/>
  <c r="T397" i="1"/>
  <c r="U397" i="1"/>
  <c r="T398" i="1"/>
  <c r="U398" i="1"/>
  <c r="T399" i="1"/>
  <c r="U399" i="1"/>
  <c r="T400" i="1"/>
  <c r="U400" i="1"/>
  <c r="T401" i="1"/>
  <c r="U401" i="1"/>
  <c r="T402" i="1"/>
  <c r="U402" i="1"/>
  <c r="T403" i="1"/>
  <c r="U403" i="1"/>
  <c r="T404" i="1"/>
  <c r="U404" i="1"/>
  <c r="T405" i="1"/>
  <c r="U405" i="1"/>
  <c r="T406" i="1"/>
  <c r="U406" i="1"/>
  <c r="T407" i="1"/>
  <c r="U407" i="1"/>
  <c r="T408" i="1"/>
  <c r="U408" i="1"/>
  <c r="T409" i="1"/>
  <c r="U409" i="1"/>
  <c r="T410" i="1"/>
  <c r="U410" i="1"/>
  <c r="T411" i="1"/>
  <c r="U411" i="1"/>
  <c r="T412" i="1"/>
  <c r="U412" i="1"/>
  <c r="T413" i="1"/>
  <c r="U413" i="1"/>
  <c r="T414" i="1"/>
  <c r="U414" i="1"/>
  <c r="T415" i="1"/>
  <c r="U415" i="1"/>
  <c r="T416" i="1"/>
  <c r="U416" i="1"/>
  <c r="T417" i="1"/>
  <c r="U417" i="1"/>
  <c r="T418" i="1"/>
  <c r="U418" i="1"/>
  <c r="T419" i="1"/>
  <c r="U419" i="1"/>
  <c r="T420" i="1"/>
  <c r="U420" i="1"/>
  <c r="T421" i="1"/>
  <c r="U421" i="1"/>
  <c r="T422" i="1"/>
  <c r="U422" i="1"/>
  <c r="T423" i="1"/>
  <c r="U423" i="1"/>
  <c r="T424" i="1"/>
  <c r="U424" i="1"/>
  <c r="T425" i="1"/>
  <c r="U425" i="1"/>
  <c r="T426" i="1"/>
  <c r="U426" i="1"/>
  <c r="T427" i="1"/>
  <c r="U427" i="1"/>
  <c r="T428" i="1"/>
  <c r="U428" i="1"/>
  <c r="T429" i="1"/>
  <c r="U429" i="1"/>
  <c r="T430" i="1"/>
  <c r="U430" i="1"/>
  <c r="T431" i="1"/>
  <c r="U431" i="1"/>
  <c r="T432" i="1"/>
  <c r="U432" i="1"/>
  <c r="T433" i="1"/>
  <c r="U433" i="1"/>
  <c r="T434" i="1"/>
  <c r="U434" i="1"/>
  <c r="T435" i="1"/>
  <c r="U435" i="1"/>
  <c r="T436" i="1"/>
  <c r="U436" i="1"/>
  <c r="T437" i="1"/>
  <c r="U437" i="1"/>
  <c r="T438" i="1"/>
  <c r="U438" i="1"/>
  <c r="T439" i="1"/>
  <c r="U439" i="1"/>
  <c r="T440" i="1"/>
  <c r="U440" i="1"/>
  <c r="T441" i="1"/>
  <c r="U441" i="1"/>
  <c r="T442" i="1"/>
  <c r="U442" i="1"/>
  <c r="T443" i="1"/>
  <c r="U443" i="1"/>
  <c r="T444" i="1"/>
  <c r="U444" i="1"/>
  <c r="T445" i="1"/>
  <c r="U445" i="1"/>
  <c r="T446" i="1"/>
  <c r="U446" i="1"/>
  <c r="T447" i="1"/>
  <c r="U447" i="1"/>
  <c r="T448" i="1"/>
  <c r="U448" i="1"/>
  <c r="T449" i="1"/>
  <c r="U449" i="1"/>
  <c r="T450" i="1"/>
  <c r="U450" i="1"/>
  <c r="T451" i="1"/>
  <c r="U451" i="1"/>
  <c r="T452" i="1"/>
  <c r="U452" i="1"/>
  <c r="T453" i="1"/>
  <c r="U453" i="1"/>
  <c r="T454" i="1"/>
  <c r="U454" i="1"/>
  <c r="T455" i="1"/>
  <c r="U455" i="1"/>
  <c r="T456" i="1"/>
  <c r="U456" i="1"/>
  <c r="T457" i="1"/>
  <c r="U457" i="1"/>
  <c r="T458" i="1"/>
  <c r="U458" i="1"/>
  <c r="T459" i="1"/>
  <c r="U459" i="1"/>
  <c r="T460" i="1"/>
  <c r="U460" i="1"/>
  <c r="T461" i="1"/>
  <c r="U461" i="1"/>
  <c r="T462" i="1"/>
  <c r="U462" i="1"/>
  <c r="T463" i="1"/>
  <c r="U463" i="1"/>
  <c r="T464" i="1"/>
  <c r="U464" i="1"/>
  <c r="T465" i="1"/>
  <c r="U465" i="1"/>
  <c r="T466" i="1"/>
  <c r="U466" i="1"/>
  <c r="T467" i="1"/>
  <c r="U467" i="1"/>
  <c r="T468" i="1"/>
  <c r="U468" i="1"/>
  <c r="T469" i="1"/>
  <c r="U469" i="1"/>
  <c r="T470" i="1"/>
  <c r="U470" i="1"/>
  <c r="T471" i="1"/>
  <c r="U471" i="1"/>
  <c r="T472" i="1"/>
  <c r="U472" i="1"/>
  <c r="T473" i="1"/>
  <c r="U473" i="1"/>
  <c r="T474" i="1"/>
  <c r="U474" i="1"/>
  <c r="T475" i="1"/>
  <c r="U475" i="1"/>
  <c r="T476" i="1"/>
  <c r="U476" i="1"/>
  <c r="T477" i="1"/>
  <c r="U477" i="1"/>
  <c r="T478" i="1"/>
  <c r="U478" i="1"/>
  <c r="T479" i="1"/>
  <c r="U479" i="1"/>
  <c r="T480" i="1"/>
  <c r="U480" i="1"/>
  <c r="T481" i="1"/>
  <c r="U481" i="1"/>
  <c r="T482" i="1"/>
  <c r="U482" i="1"/>
  <c r="T483" i="1"/>
  <c r="U483" i="1"/>
  <c r="T484" i="1"/>
  <c r="U484" i="1"/>
  <c r="T485" i="1"/>
  <c r="U485" i="1"/>
  <c r="T486" i="1"/>
  <c r="U486" i="1"/>
  <c r="T487" i="1"/>
  <c r="U487" i="1"/>
  <c r="T488" i="1"/>
  <c r="U488" i="1"/>
  <c r="T489" i="1"/>
  <c r="U489" i="1"/>
  <c r="T490" i="1"/>
  <c r="U490" i="1"/>
  <c r="T491" i="1"/>
  <c r="U491" i="1"/>
  <c r="T492" i="1"/>
  <c r="U492" i="1"/>
  <c r="T493" i="1"/>
  <c r="U493" i="1"/>
  <c r="T494" i="1"/>
  <c r="U494" i="1"/>
  <c r="T495" i="1"/>
  <c r="U495" i="1"/>
  <c r="T496" i="1"/>
  <c r="U496" i="1"/>
  <c r="T497" i="1"/>
  <c r="U497" i="1"/>
  <c r="T498" i="1"/>
  <c r="U498" i="1"/>
  <c r="T499" i="1"/>
  <c r="U499" i="1"/>
  <c r="T500" i="1"/>
  <c r="U500" i="1"/>
  <c r="T501" i="1"/>
  <c r="U501" i="1"/>
  <c r="T502" i="1"/>
  <c r="U502" i="1"/>
  <c r="T503" i="1"/>
  <c r="U503" i="1"/>
  <c r="T504" i="1"/>
  <c r="U504" i="1"/>
  <c r="T505" i="1"/>
  <c r="U505" i="1"/>
  <c r="T506" i="1"/>
  <c r="U506" i="1"/>
  <c r="T507" i="1"/>
  <c r="U507" i="1"/>
  <c r="T508" i="1"/>
  <c r="U508" i="1"/>
  <c r="T509" i="1"/>
  <c r="U509" i="1"/>
  <c r="T510" i="1"/>
  <c r="U510" i="1"/>
  <c r="T511" i="1"/>
  <c r="U511" i="1"/>
  <c r="T512" i="1"/>
  <c r="U512" i="1"/>
  <c r="T513" i="1"/>
  <c r="U513" i="1"/>
  <c r="T514" i="1"/>
  <c r="U514" i="1"/>
  <c r="T515" i="1"/>
  <c r="U515" i="1"/>
  <c r="T516" i="1"/>
  <c r="U516" i="1"/>
  <c r="T517" i="1"/>
  <c r="U517" i="1"/>
  <c r="T518" i="1"/>
  <c r="U518" i="1"/>
  <c r="T519" i="1"/>
  <c r="U519" i="1"/>
  <c r="T520" i="1"/>
  <c r="U520" i="1"/>
  <c r="T521" i="1"/>
  <c r="U521" i="1"/>
  <c r="T522" i="1"/>
  <c r="U522" i="1"/>
  <c r="T523" i="1"/>
  <c r="U523" i="1"/>
  <c r="T524" i="1"/>
  <c r="U524" i="1"/>
  <c r="T525" i="1"/>
  <c r="U525" i="1"/>
  <c r="T526" i="1"/>
  <c r="U526" i="1"/>
  <c r="T527" i="1"/>
  <c r="U527" i="1"/>
  <c r="T528" i="1"/>
  <c r="U528" i="1"/>
  <c r="T529" i="1"/>
  <c r="U529" i="1"/>
  <c r="T530" i="1"/>
  <c r="U530" i="1"/>
  <c r="T531" i="1"/>
  <c r="U531" i="1"/>
  <c r="T532" i="1"/>
  <c r="U532" i="1"/>
  <c r="T533" i="1"/>
  <c r="U533" i="1"/>
  <c r="T534" i="1"/>
  <c r="U534" i="1"/>
  <c r="T535" i="1"/>
  <c r="U535" i="1"/>
  <c r="T536" i="1"/>
  <c r="U536" i="1"/>
  <c r="T537" i="1"/>
  <c r="U537" i="1"/>
  <c r="T538" i="1"/>
  <c r="U538" i="1"/>
  <c r="T539" i="1"/>
  <c r="U539" i="1"/>
  <c r="T540" i="1"/>
  <c r="U540" i="1"/>
  <c r="T541" i="1"/>
  <c r="U541" i="1"/>
  <c r="T542" i="1"/>
  <c r="U542" i="1"/>
  <c r="T543" i="1"/>
  <c r="U543" i="1"/>
  <c r="T544" i="1"/>
  <c r="U544" i="1"/>
  <c r="T545" i="1"/>
  <c r="U545" i="1"/>
  <c r="T546" i="1"/>
  <c r="U546" i="1"/>
  <c r="T547" i="1"/>
  <c r="U547" i="1"/>
  <c r="T548" i="1"/>
  <c r="U548" i="1"/>
  <c r="T549" i="1"/>
  <c r="U549" i="1"/>
  <c r="T550" i="1"/>
  <c r="U550" i="1"/>
  <c r="T551" i="1"/>
  <c r="U551" i="1"/>
  <c r="T552" i="1"/>
  <c r="U552" i="1"/>
  <c r="T553" i="1"/>
  <c r="U553" i="1"/>
  <c r="T554" i="1"/>
  <c r="U554" i="1"/>
  <c r="T555" i="1"/>
  <c r="U555" i="1"/>
  <c r="T556" i="1"/>
  <c r="U556" i="1"/>
  <c r="T557" i="1"/>
  <c r="U557" i="1"/>
  <c r="T558" i="1"/>
  <c r="U558" i="1"/>
  <c r="T559" i="1"/>
  <c r="U559" i="1"/>
  <c r="T560" i="1"/>
  <c r="U560" i="1"/>
  <c r="T561" i="1"/>
  <c r="U561" i="1"/>
  <c r="T562" i="1"/>
  <c r="U562" i="1"/>
  <c r="T563" i="1"/>
  <c r="U563" i="1"/>
  <c r="T564" i="1"/>
  <c r="U564" i="1"/>
  <c r="T565" i="1"/>
  <c r="U565" i="1"/>
  <c r="T566" i="1"/>
  <c r="U566" i="1"/>
  <c r="T567" i="1"/>
  <c r="U567" i="1"/>
  <c r="T568" i="1"/>
  <c r="U568" i="1"/>
  <c r="T569" i="1"/>
  <c r="U569" i="1"/>
  <c r="T570" i="1"/>
  <c r="U570" i="1"/>
  <c r="T571" i="1"/>
  <c r="U571" i="1"/>
  <c r="T572" i="1"/>
  <c r="U572" i="1"/>
  <c r="T573" i="1"/>
  <c r="U573" i="1"/>
  <c r="T574" i="1"/>
  <c r="U574" i="1"/>
  <c r="T575" i="1"/>
  <c r="U575" i="1"/>
  <c r="T576" i="1"/>
  <c r="U576" i="1"/>
  <c r="T577" i="1"/>
  <c r="U577" i="1"/>
  <c r="T578" i="1"/>
  <c r="U578" i="1"/>
  <c r="T579" i="1"/>
  <c r="U579" i="1"/>
  <c r="T580" i="1"/>
  <c r="U580" i="1"/>
  <c r="T581" i="1"/>
  <c r="U581" i="1"/>
  <c r="T582" i="1"/>
  <c r="U582" i="1"/>
  <c r="T583" i="1"/>
  <c r="U583" i="1"/>
  <c r="T584" i="1"/>
  <c r="U584" i="1"/>
  <c r="T585" i="1"/>
  <c r="U585" i="1"/>
  <c r="T586" i="1"/>
  <c r="U586" i="1"/>
  <c r="T587" i="1"/>
  <c r="U587" i="1"/>
  <c r="T588" i="1"/>
  <c r="U588" i="1"/>
  <c r="T589" i="1"/>
  <c r="U589" i="1"/>
  <c r="T590" i="1"/>
  <c r="U590" i="1"/>
  <c r="T591" i="1"/>
  <c r="U591" i="1"/>
  <c r="T592" i="1"/>
  <c r="U592" i="1"/>
  <c r="T593" i="1"/>
  <c r="U593" i="1"/>
  <c r="T594" i="1"/>
  <c r="U594" i="1"/>
  <c r="T595" i="1"/>
  <c r="U595" i="1"/>
  <c r="T596" i="1"/>
  <c r="U596" i="1"/>
  <c r="T597" i="1"/>
  <c r="U597" i="1"/>
  <c r="T598" i="1"/>
  <c r="U598" i="1"/>
  <c r="T599" i="1"/>
  <c r="U599" i="1"/>
  <c r="T600" i="1"/>
  <c r="U600" i="1"/>
  <c r="T601" i="1"/>
  <c r="U601" i="1"/>
  <c r="T602" i="1"/>
  <c r="U602" i="1"/>
  <c r="T603" i="1"/>
  <c r="U603" i="1"/>
  <c r="T604" i="1"/>
  <c r="U604" i="1"/>
  <c r="T605" i="1"/>
  <c r="U605" i="1"/>
  <c r="T606" i="1"/>
  <c r="U606" i="1"/>
  <c r="T607" i="1"/>
  <c r="U607" i="1"/>
  <c r="T608" i="1"/>
  <c r="U608" i="1"/>
  <c r="T609" i="1"/>
  <c r="U609" i="1"/>
  <c r="T610" i="1"/>
  <c r="U610" i="1"/>
  <c r="T611" i="1"/>
  <c r="U611" i="1"/>
  <c r="T612" i="1"/>
  <c r="U612" i="1"/>
  <c r="T613" i="1"/>
  <c r="U613" i="1"/>
  <c r="T614" i="1"/>
  <c r="U614" i="1"/>
  <c r="T615" i="1"/>
  <c r="U615" i="1"/>
  <c r="T616" i="1"/>
  <c r="U616" i="1"/>
  <c r="T617" i="1"/>
  <c r="U617" i="1"/>
  <c r="T618" i="1"/>
  <c r="U618" i="1"/>
  <c r="T619" i="1"/>
  <c r="U619" i="1"/>
  <c r="T620" i="1"/>
  <c r="U620" i="1"/>
  <c r="T621" i="1"/>
  <c r="U621" i="1"/>
  <c r="T622" i="1"/>
  <c r="U622" i="1"/>
  <c r="T623" i="1"/>
  <c r="U623" i="1"/>
  <c r="T624" i="1"/>
  <c r="U624" i="1"/>
  <c r="T625" i="1"/>
  <c r="U625" i="1"/>
  <c r="T626" i="1"/>
  <c r="U626" i="1"/>
  <c r="T627" i="1"/>
  <c r="U627" i="1"/>
  <c r="T628" i="1"/>
  <c r="U628" i="1"/>
  <c r="T629" i="1"/>
  <c r="U629" i="1"/>
  <c r="T630" i="1"/>
  <c r="U630" i="1"/>
  <c r="T631" i="1"/>
  <c r="U631" i="1"/>
  <c r="T632" i="1"/>
  <c r="U632" i="1"/>
  <c r="T633" i="1"/>
  <c r="U633" i="1"/>
  <c r="T634" i="1"/>
  <c r="U634" i="1"/>
  <c r="T635" i="1"/>
  <c r="U635" i="1"/>
  <c r="T636" i="1"/>
  <c r="U636" i="1"/>
  <c r="T637" i="1"/>
  <c r="U637" i="1"/>
  <c r="T638" i="1"/>
  <c r="U638" i="1"/>
  <c r="T639" i="1"/>
  <c r="U639" i="1"/>
  <c r="T640" i="1"/>
  <c r="U640" i="1"/>
  <c r="T641" i="1"/>
  <c r="U641" i="1"/>
  <c r="T642" i="1"/>
  <c r="U642" i="1"/>
  <c r="T643" i="1"/>
  <c r="U643" i="1"/>
  <c r="T644" i="1"/>
  <c r="U644" i="1"/>
  <c r="T645" i="1"/>
  <c r="U645" i="1"/>
  <c r="T646" i="1"/>
  <c r="U646" i="1"/>
  <c r="T647" i="1"/>
  <c r="U647" i="1"/>
  <c r="T648" i="1"/>
  <c r="U648" i="1"/>
  <c r="T649" i="1"/>
  <c r="U649" i="1"/>
  <c r="T650" i="1"/>
  <c r="U650" i="1"/>
  <c r="T651" i="1"/>
  <c r="U651" i="1"/>
  <c r="T652" i="1"/>
  <c r="U652" i="1"/>
  <c r="T653" i="1"/>
  <c r="U653" i="1"/>
  <c r="T654" i="1"/>
  <c r="U654" i="1"/>
  <c r="T655" i="1"/>
  <c r="U655" i="1"/>
  <c r="T656" i="1"/>
  <c r="U656" i="1"/>
  <c r="T657" i="1"/>
  <c r="U657" i="1"/>
  <c r="T658" i="1"/>
  <c r="U658" i="1"/>
  <c r="T659" i="1"/>
  <c r="U659" i="1"/>
  <c r="T660" i="1"/>
  <c r="U660" i="1"/>
  <c r="T661" i="1"/>
  <c r="U661" i="1"/>
  <c r="T662" i="1"/>
  <c r="U662" i="1"/>
  <c r="T663" i="1"/>
  <c r="U663" i="1"/>
  <c r="T664" i="1"/>
  <c r="U664" i="1"/>
  <c r="T665" i="1"/>
  <c r="U665" i="1"/>
  <c r="T666" i="1"/>
  <c r="U666" i="1"/>
  <c r="T667" i="1"/>
  <c r="U667" i="1"/>
  <c r="T668" i="1"/>
  <c r="U668" i="1"/>
  <c r="T669" i="1"/>
  <c r="U669" i="1"/>
  <c r="T670" i="1"/>
  <c r="U670" i="1"/>
  <c r="T671" i="1"/>
  <c r="U671" i="1"/>
  <c r="T672" i="1"/>
  <c r="U672" i="1"/>
  <c r="T673" i="1"/>
  <c r="U673" i="1"/>
  <c r="T674" i="1"/>
  <c r="U674" i="1"/>
  <c r="T675" i="1"/>
  <c r="U675" i="1"/>
  <c r="T676" i="1"/>
  <c r="U676" i="1"/>
  <c r="T677" i="1"/>
  <c r="U677" i="1"/>
  <c r="T678" i="1"/>
  <c r="U678" i="1"/>
  <c r="T679" i="1"/>
  <c r="U679" i="1"/>
  <c r="T680" i="1"/>
  <c r="U680" i="1"/>
  <c r="T681" i="1"/>
  <c r="U681" i="1"/>
  <c r="T682" i="1"/>
  <c r="U682" i="1"/>
  <c r="T683" i="1"/>
  <c r="U683" i="1"/>
  <c r="T684" i="1"/>
  <c r="U684" i="1"/>
  <c r="T685" i="1"/>
  <c r="U685" i="1"/>
  <c r="T686" i="1"/>
  <c r="U686" i="1"/>
  <c r="T687" i="1"/>
  <c r="U687" i="1"/>
  <c r="T688" i="1"/>
  <c r="U688" i="1"/>
  <c r="T689" i="1"/>
  <c r="U689" i="1"/>
  <c r="T690" i="1"/>
  <c r="U690" i="1"/>
  <c r="T691" i="1"/>
  <c r="U691" i="1"/>
  <c r="T692" i="1"/>
  <c r="U692" i="1"/>
  <c r="T693" i="1"/>
  <c r="U693" i="1"/>
  <c r="T694" i="1"/>
  <c r="U694" i="1"/>
  <c r="T695" i="1"/>
  <c r="U695" i="1"/>
  <c r="T696" i="1"/>
  <c r="U696" i="1"/>
  <c r="T697" i="1"/>
  <c r="U697" i="1"/>
  <c r="T698" i="1"/>
  <c r="U698" i="1"/>
  <c r="T699" i="1"/>
  <c r="U699" i="1"/>
  <c r="T700" i="1"/>
  <c r="U700" i="1"/>
  <c r="T701" i="1"/>
  <c r="U701" i="1"/>
  <c r="T702" i="1"/>
  <c r="U702" i="1"/>
  <c r="T703" i="1"/>
  <c r="U703" i="1"/>
  <c r="T704" i="1"/>
  <c r="U704" i="1"/>
  <c r="T705" i="1"/>
  <c r="U705" i="1"/>
  <c r="T706" i="1"/>
  <c r="U706" i="1"/>
  <c r="T707" i="1"/>
  <c r="U707" i="1"/>
  <c r="T708" i="1"/>
  <c r="U708" i="1"/>
  <c r="T709" i="1"/>
  <c r="U709" i="1"/>
  <c r="T710" i="1"/>
  <c r="U710" i="1"/>
  <c r="T711" i="1"/>
  <c r="U711" i="1"/>
  <c r="T712" i="1"/>
  <c r="U712" i="1"/>
  <c r="T713" i="1"/>
  <c r="U713" i="1"/>
  <c r="T714" i="1"/>
  <c r="U714" i="1"/>
  <c r="T715" i="1"/>
  <c r="U715" i="1"/>
  <c r="T716" i="1"/>
  <c r="U716" i="1"/>
  <c r="T717" i="1"/>
  <c r="U717" i="1"/>
  <c r="T718" i="1"/>
  <c r="U718" i="1"/>
  <c r="T719" i="1"/>
  <c r="U719" i="1"/>
  <c r="T720" i="1"/>
  <c r="U720" i="1"/>
  <c r="T721" i="1"/>
  <c r="U721" i="1"/>
  <c r="T722" i="1"/>
  <c r="U722" i="1"/>
  <c r="T723" i="1"/>
  <c r="U723" i="1"/>
  <c r="T724" i="1"/>
  <c r="U724" i="1"/>
  <c r="T725" i="1"/>
  <c r="U725" i="1"/>
  <c r="T726" i="1"/>
  <c r="U726" i="1"/>
  <c r="T727" i="1"/>
  <c r="U727" i="1"/>
  <c r="T728" i="1"/>
  <c r="U728" i="1"/>
  <c r="T729" i="1"/>
  <c r="U729" i="1"/>
  <c r="T730" i="1"/>
  <c r="U730" i="1"/>
  <c r="T731" i="1"/>
  <c r="U731" i="1"/>
  <c r="T732" i="1"/>
  <c r="U732" i="1"/>
  <c r="T733" i="1"/>
  <c r="U733" i="1"/>
  <c r="T734" i="1"/>
  <c r="U734" i="1"/>
  <c r="T735" i="1"/>
  <c r="U735" i="1"/>
  <c r="T736" i="1"/>
  <c r="U736" i="1"/>
  <c r="T737" i="1"/>
  <c r="U737" i="1"/>
  <c r="T738" i="1"/>
  <c r="U738" i="1"/>
  <c r="T739" i="1"/>
  <c r="U739" i="1"/>
  <c r="T740" i="1"/>
  <c r="U740" i="1"/>
  <c r="T741" i="1"/>
  <c r="U741" i="1"/>
  <c r="T742" i="1"/>
  <c r="U742" i="1"/>
  <c r="T743" i="1"/>
  <c r="U743" i="1"/>
  <c r="T744" i="1"/>
  <c r="U744" i="1"/>
  <c r="T745" i="1"/>
  <c r="U745" i="1"/>
  <c r="T746" i="1"/>
  <c r="U746" i="1"/>
  <c r="T747" i="1"/>
  <c r="U747" i="1"/>
  <c r="T748" i="1"/>
  <c r="U748" i="1"/>
  <c r="T749" i="1"/>
  <c r="U749" i="1"/>
  <c r="T750" i="1"/>
  <c r="U750" i="1"/>
  <c r="T751" i="1"/>
  <c r="U751" i="1"/>
  <c r="T752" i="1"/>
  <c r="U752" i="1"/>
  <c r="T753" i="1"/>
  <c r="U753" i="1"/>
  <c r="T754" i="1"/>
  <c r="U754" i="1"/>
  <c r="T755" i="1"/>
  <c r="U755" i="1"/>
  <c r="T756" i="1"/>
  <c r="U756" i="1"/>
  <c r="T757" i="1"/>
  <c r="U757" i="1"/>
  <c r="T758" i="1"/>
  <c r="U758" i="1"/>
  <c r="T759" i="1"/>
  <c r="U759" i="1"/>
  <c r="T760" i="1"/>
  <c r="U760" i="1"/>
  <c r="T761" i="1"/>
  <c r="U761" i="1"/>
  <c r="T762" i="1"/>
  <c r="U762" i="1"/>
  <c r="T763" i="1"/>
  <c r="U763" i="1"/>
  <c r="T764" i="1"/>
  <c r="U764" i="1"/>
  <c r="T765" i="1"/>
  <c r="U765" i="1"/>
  <c r="T766" i="1"/>
  <c r="U766" i="1"/>
  <c r="T767" i="1"/>
  <c r="U767" i="1"/>
  <c r="T768" i="1"/>
  <c r="U768" i="1"/>
  <c r="T769" i="1"/>
  <c r="U769" i="1"/>
  <c r="T770" i="1"/>
  <c r="U770" i="1"/>
  <c r="T771" i="1"/>
  <c r="U771" i="1"/>
  <c r="T772" i="1"/>
  <c r="U772" i="1"/>
  <c r="T773" i="1"/>
  <c r="U773" i="1"/>
  <c r="T774" i="1"/>
  <c r="U774" i="1"/>
  <c r="T775" i="1"/>
  <c r="U775" i="1"/>
  <c r="T776" i="1"/>
  <c r="U776" i="1"/>
  <c r="T777" i="1"/>
  <c r="U777" i="1"/>
  <c r="T778" i="1"/>
  <c r="U778" i="1"/>
  <c r="T779" i="1"/>
  <c r="U779" i="1"/>
  <c r="T780" i="1"/>
  <c r="U780" i="1"/>
  <c r="T781" i="1"/>
  <c r="U781" i="1"/>
  <c r="T782" i="1"/>
  <c r="U782" i="1"/>
  <c r="T783" i="1"/>
  <c r="U783" i="1"/>
  <c r="T784" i="1"/>
  <c r="U784" i="1"/>
  <c r="T785" i="1"/>
  <c r="U785" i="1"/>
  <c r="T786" i="1"/>
  <c r="U786" i="1"/>
  <c r="T787" i="1"/>
  <c r="U787" i="1"/>
  <c r="T788" i="1"/>
  <c r="U788" i="1"/>
  <c r="T789" i="1"/>
  <c r="U789" i="1"/>
  <c r="T790" i="1"/>
  <c r="U790" i="1"/>
  <c r="T791" i="1"/>
  <c r="U791" i="1"/>
  <c r="T792" i="1"/>
  <c r="U792" i="1"/>
  <c r="T793" i="1"/>
  <c r="U793" i="1"/>
  <c r="T794" i="1"/>
  <c r="U794" i="1"/>
  <c r="T795" i="1"/>
  <c r="U795" i="1"/>
  <c r="T796" i="1"/>
  <c r="U796" i="1"/>
  <c r="T797" i="1"/>
  <c r="U797" i="1"/>
  <c r="T798" i="1"/>
  <c r="U798" i="1"/>
  <c r="T799" i="1"/>
  <c r="U799" i="1"/>
  <c r="T800" i="1"/>
  <c r="U800" i="1"/>
  <c r="T801" i="1"/>
  <c r="U801" i="1"/>
  <c r="T802" i="1"/>
  <c r="U802" i="1"/>
  <c r="T803" i="1"/>
  <c r="U803" i="1"/>
  <c r="T804" i="1"/>
  <c r="U804" i="1"/>
  <c r="T805" i="1"/>
  <c r="U805" i="1"/>
  <c r="T806" i="1"/>
  <c r="U806" i="1"/>
  <c r="T807" i="1"/>
  <c r="U807" i="1"/>
  <c r="T808" i="1"/>
  <c r="U808" i="1"/>
  <c r="T809" i="1"/>
  <c r="U809" i="1"/>
  <c r="T810" i="1"/>
  <c r="U810" i="1"/>
  <c r="T811" i="1"/>
  <c r="U811" i="1"/>
  <c r="T812" i="1"/>
  <c r="U812" i="1"/>
  <c r="T813" i="1"/>
  <c r="U813" i="1"/>
  <c r="T814" i="1"/>
  <c r="U814" i="1"/>
  <c r="T815" i="1"/>
  <c r="U815" i="1"/>
  <c r="T816" i="1"/>
  <c r="U816" i="1"/>
  <c r="T817" i="1"/>
  <c r="U817" i="1"/>
  <c r="T818" i="1"/>
  <c r="U818" i="1"/>
  <c r="T819" i="1"/>
  <c r="U819" i="1"/>
  <c r="T820" i="1"/>
  <c r="U820" i="1"/>
  <c r="T821" i="1"/>
  <c r="U821" i="1"/>
  <c r="T822" i="1"/>
  <c r="U822" i="1"/>
  <c r="T823" i="1"/>
  <c r="U823" i="1"/>
  <c r="T824" i="1"/>
  <c r="U824" i="1"/>
  <c r="T825" i="1"/>
  <c r="U825" i="1"/>
  <c r="T826" i="1"/>
  <c r="U826" i="1"/>
  <c r="T827" i="1"/>
  <c r="U827" i="1"/>
  <c r="T828" i="1"/>
  <c r="U828" i="1"/>
  <c r="T829" i="1"/>
  <c r="U829" i="1"/>
  <c r="T830" i="1"/>
  <c r="U830" i="1"/>
  <c r="T831" i="1"/>
  <c r="U831" i="1"/>
  <c r="T832" i="1"/>
  <c r="U832" i="1"/>
  <c r="T833" i="1"/>
  <c r="U833" i="1"/>
  <c r="T834" i="1"/>
  <c r="U834" i="1"/>
  <c r="T835" i="1"/>
  <c r="U835" i="1"/>
  <c r="T836" i="1"/>
  <c r="U836" i="1"/>
  <c r="T837" i="1"/>
  <c r="U837" i="1"/>
  <c r="T838" i="1"/>
  <c r="U838" i="1"/>
  <c r="T839" i="1"/>
  <c r="U839" i="1"/>
  <c r="T840" i="1"/>
  <c r="U840" i="1"/>
  <c r="T841" i="1"/>
  <c r="U841" i="1"/>
  <c r="T842" i="1"/>
  <c r="U842" i="1"/>
  <c r="T843" i="1"/>
  <c r="U843" i="1"/>
  <c r="T844" i="1"/>
  <c r="U844" i="1"/>
  <c r="T845" i="1"/>
  <c r="U845" i="1"/>
  <c r="T846" i="1"/>
  <c r="U846" i="1"/>
  <c r="T847" i="1"/>
  <c r="U847" i="1"/>
  <c r="T848" i="1"/>
  <c r="U848" i="1"/>
  <c r="T849" i="1"/>
  <c r="U849" i="1"/>
  <c r="T850" i="1"/>
  <c r="U850" i="1"/>
  <c r="T851" i="1"/>
  <c r="U851" i="1"/>
  <c r="T852" i="1"/>
  <c r="U852" i="1"/>
  <c r="T853" i="1"/>
  <c r="U853" i="1"/>
  <c r="T854" i="1"/>
  <c r="U854" i="1"/>
  <c r="T855" i="1"/>
  <c r="U855" i="1"/>
  <c r="T856" i="1"/>
  <c r="U856" i="1"/>
  <c r="T857" i="1"/>
  <c r="U857" i="1"/>
  <c r="T858" i="1"/>
  <c r="U858" i="1"/>
  <c r="T859" i="1"/>
  <c r="U859" i="1"/>
  <c r="T860" i="1"/>
  <c r="U860" i="1"/>
  <c r="T861" i="1"/>
  <c r="U861" i="1"/>
  <c r="T862" i="1"/>
  <c r="U862" i="1"/>
  <c r="T863" i="1"/>
  <c r="U863" i="1"/>
  <c r="T864" i="1"/>
  <c r="U864" i="1"/>
  <c r="T865" i="1"/>
  <c r="U865" i="1"/>
  <c r="T866" i="1"/>
  <c r="U866" i="1"/>
  <c r="T867" i="1"/>
  <c r="U867" i="1"/>
  <c r="T868" i="1"/>
  <c r="U868" i="1"/>
  <c r="T869" i="1"/>
  <c r="U869" i="1"/>
  <c r="T870" i="1"/>
  <c r="U870" i="1"/>
  <c r="T871" i="1"/>
  <c r="U871" i="1"/>
  <c r="T872" i="1"/>
  <c r="U872" i="1"/>
  <c r="T873" i="1"/>
  <c r="U873" i="1"/>
  <c r="T874" i="1"/>
  <c r="U874" i="1"/>
  <c r="T875" i="1"/>
  <c r="U875" i="1"/>
  <c r="T876" i="1"/>
  <c r="U876" i="1"/>
  <c r="T877" i="1"/>
  <c r="U877" i="1"/>
  <c r="T878" i="1"/>
  <c r="U878" i="1"/>
  <c r="T879" i="1"/>
  <c r="U879" i="1"/>
  <c r="T880" i="1"/>
  <c r="U880" i="1"/>
  <c r="T881" i="1"/>
  <c r="U881" i="1"/>
  <c r="T882" i="1"/>
  <c r="U882" i="1"/>
  <c r="T883" i="1"/>
  <c r="U883" i="1"/>
  <c r="T884" i="1"/>
  <c r="U884" i="1"/>
  <c r="T885" i="1"/>
  <c r="U885" i="1"/>
  <c r="T886" i="1"/>
  <c r="U886" i="1"/>
  <c r="T887" i="1"/>
  <c r="U887" i="1"/>
  <c r="T888" i="1"/>
  <c r="U888" i="1"/>
  <c r="T889" i="1"/>
  <c r="U889" i="1"/>
  <c r="T890" i="1"/>
  <c r="U890" i="1"/>
  <c r="T891" i="1"/>
  <c r="U891" i="1"/>
  <c r="T892" i="1"/>
  <c r="U892" i="1"/>
  <c r="T893" i="1"/>
  <c r="U893" i="1"/>
  <c r="T894" i="1"/>
  <c r="U894" i="1"/>
  <c r="T895" i="1"/>
  <c r="U895" i="1"/>
  <c r="T896" i="1"/>
  <c r="U896" i="1"/>
  <c r="T897" i="1"/>
  <c r="U897" i="1"/>
  <c r="T898" i="1"/>
  <c r="U898" i="1"/>
  <c r="T899" i="1"/>
  <c r="U899" i="1"/>
  <c r="T900" i="1"/>
  <c r="U900" i="1"/>
  <c r="T901" i="1"/>
  <c r="U901" i="1"/>
  <c r="T902" i="1"/>
  <c r="U902" i="1"/>
  <c r="T903" i="1"/>
  <c r="U903" i="1"/>
  <c r="T904" i="1"/>
  <c r="U904" i="1"/>
  <c r="T905" i="1"/>
  <c r="U905" i="1"/>
  <c r="T906" i="1"/>
  <c r="U906" i="1"/>
  <c r="T907" i="1"/>
  <c r="U907" i="1"/>
  <c r="T908" i="1"/>
  <c r="U908" i="1"/>
  <c r="T909" i="1"/>
  <c r="U909" i="1"/>
  <c r="T910" i="1"/>
  <c r="U910" i="1"/>
  <c r="T911" i="1"/>
  <c r="U911" i="1"/>
  <c r="T912" i="1"/>
  <c r="U912" i="1"/>
  <c r="T913" i="1"/>
  <c r="U913" i="1"/>
  <c r="T914" i="1"/>
  <c r="U914" i="1"/>
  <c r="T915" i="1"/>
  <c r="U915" i="1"/>
  <c r="T916" i="1"/>
  <c r="U916" i="1"/>
  <c r="U11" i="1"/>
  <c r="T11" i="1"/>
  <c r="T5" i="1"/>
  <c r="U5" i="1"/>
  <c r="T6" i="1"/>
  <c r="U6" i="1"/>
  <c r="T7" i="1"/>
  <c r="U7" i="1"/>
  <c r="T8" i="1"/>
  <c r="U8" i="1"/>
  <c r="U4" i="1"/>
  <c r="T4" i="1"/>
  <c r="V4" i="1" l="1"/>
  <c r="V11" i="1"/>
  <c r="W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A2EC77-BD4C-4EF3-B0AA-0F822E797DBD}" name="Query - customers" description="Connection to the 'customers' query in the workbook." type="100" refreshedVersion="7" minRefreshableVersion="5">
    <extLst>
      <ext xmlns:x15="http://schemas.microsoft.com/office/spreadsheetml/2010/11/main" uri="{DE250136-89BD-433C-8126-D09CA5730AF9}">
        <x15:connection id="0c4b300e-368e-47b4-aac7-f8482d04c341">
          <x15:oledbPr connection="Provider=Microsoft.Mashup.OleDb.1;Data Source=$Workbook$;Location=customers;Extended Properties=&quot;&quot;">
            <x15:dbTables>
              <x15:dbTable name="customers"/>
            </x15:dbTables>
          </x15:oledbPr>
        </x15:connection>
      </ext>
    </extLst>
  </connection>
  <connection id="2" xr16:uid="{AA3B0401-02D9-4CDB-B335-4B72580A0AD8}" name="Query - Date" description="Connection to the 'Date' query in the workbook." type="100" refreshedVersion="7" minRefreshableVersion="5">
    <extLst>
      <ext xmlns:x15="http://schemas.microsoft.com/office/spreadsheetml/2010/11/main" uri="{DE250136-89BD-433C-8126-D09CA5730AF9}">
        <x15:connection id="c13b46f9-12d3-4304-9f23-e28b0dd1b398"/>
      </ext>
    </extLst>
  </connection>
  <connection id="3" xr16:uid="{DC5EFEC0-9D2C-4FF6-AFDC-C6F78E81BE6D}" name="Query - orders" description="Connection to the 'orders' query in the workbook." type="100" refreshedVersion="7" minRefreshableVersion="5">
    <extLst>
      <ext xmlns:x15="http://schemas.microsoft.com/office/spreadsheetml/2010/11/main" uri="{DE250136-89BD-433C-8126-D09CA5730AF9}">
        <x15:connection id="9767fbd2-f44c-41f1-ba24-16d4ba4a25ec">
          <x15:oledbPr connection="Provider=Microsoft.Mashup.OleDb.1;Data Source=$Workbook$;Location=orders;Extended Properties=&quot;&quot;">
            <x15:dbTables>
              <x15:dbTable name="orders"/>
            </x15:dbTables>
          </x15:oledbPr>
        </x15:connection>
      </ext>
    </extLst>
  </connection>
  <connection id="4" xr16:uid="{03293869-0703-4932-BDD5-206EE6956086}" name="Query - products" description="Connection to the 'products' query in the workbook." type="100" refreshedVersion="7" minRefreshableVersion="5">
    <extLst>
      <ext xmlns:x15="http://schemas.microsoft.com/office/spreadsheetml/2010/11/main" uri="{DE250136-89BD-433C-8126-D09CA5730AF9}">
        <x15:connection id="68dd459f-bb3d-4a5e-8b40-fc6be2988369">
          <x15:oledbPr connection="Provider=Microsoft.Mashup.OleDb.1;Data Source=$Workbook$;Location=products;Extended Properties=&quot;&quot;">
            <x15:dbTables>
              <x15:dbTable name="products"/>
            </x15:dbTables>
          </x15:oledbPr>
        </x15:connection>
      </ext>
    </extLst>
  </connection>
  <connection id="5" xr16:uid="{F0B8C62A-135A-4B12-83D7-8CD1BFAA7759}"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<sst xmlns="http://schemas.openxmlformats.org/spreadsheetml/2006/main" count="984" uniqueCount="949">
  <si>
    <t>Sales by category</t>
  </si>
  <si>
    <t xml:space="preserve">sales by country </t>
  </si>
  <si>
    <t>major customers</t>
  </si>
  <si>
    <t>Sum of Sales</t>
  </si>
  <si>
    <t>Ara</t>
  </si>
  <si>
    <t>Exc</t>
  </si>
  <si>
    <t>Lib</t>
  </si>
  <si>
    <t>Rob</t>
  </si>
  <si>
    <t>Grand Total</t>
  </si>
  <si>
    <t>Ireland</t>
  </si>
  <si>
    <t>United Kingdom</t>
  </si>
  <si>
    <t>United States</t>
  </si>
  <si>
    <t>Abba Pummell</t>
  </si>
  <si>
    <t>Abbe Thys</t>
  </si>
  <si>
    <t>Abigail Tolworthy</t>
  </si>
  <si>
    <t>Abraham Coleman</t>
  </si>
  <si>
    <t>Abrahan Mussen</t>
  </si>
  <si>
    <t>Adele McFayden</t>
  </si>
  <si>
    <t>Adelheid Gladhill</t>
  </si>
  <si>
    <t>Adelice Isabell</t>
  </si>
  <si>
    <t>Adham Greenhead</t>
  </si>
  <si>
    <t>Adolphe Treherne</t>
  </si>
  <si>
    <t>Adora Roubert</t>
  </si>
  <si>
    <t>Adorne Gregoratti</t>
  </si>
  <si>
    <t>Adrian Swaine</t>
  </si>
  <si>
    <t>Adriana Lazarus</t>
  </si>
  <si>
    <t>Adrianne Vairow</t>
  </si>
  <si>
    <t>Agnes Adamides</t>
  </si>
  <si>
    <t>Ailene Nesfield</t>
  </si>
  <si>
    <t>Ailey Brash</t>
  </si>
  <si>
    <t>Alberta Balsdone</t>
  </si>
  <si>
    <t>Alberto Hutchinson</t>
  </si>
  <si>
    <t>Alexa Sizey</t>
  </si>
  <si>
    <t>Alexina Randals</t>
  </si>
  <si>
    <t>Alf Housaman</t>
  </si>
  <si>
    <t>Alfy Snowding</t>
  </si>
  <si>
    <t>Alica Kift</t>
  </si>
  <si>
    <t>Alikee Carryer</t>
  </si>
  <si>
    <t>Alisha Hulburt</t>
  </si>
  <si>
    <t>Alisun Baudino</t>
  </si>
  <si>
    <t>Allis Wilmore</t>
  </si>
  <si>
    <t>Almeria Burgett</t>
  </si>
  <si>
    <t>Aloisia Allner</t>
  </si>
  <si>
    <t>Alon Pllu</t>
  </si>
  <si>
    <t>Alric Darth</t>
  </si>
  <si>
    <t>Alva Filipczak</t>
  </si>
  <si>
    <t>Alvis Elwin</t>
  </si>
  <si>
    <t>Ambrosio Weinmann</t>
  </si>
  <si>
    <t>Ameline Snazle</t>
  </si>
  <si>
    <t>Ami Arnow</t>
  </si>
  <si>
    <t>Amii Gallyon</t>
  </si>
  <si>
    <t>Amity Chatto</t>
  </si>
  <si>
    <t>Anabelle Hutchens</t>
  </si>
  <si>
    <t>Ancell Fendt</t>
  </si>
  <si>
    <t>Andie Rudram</t>
  </si>
  <si>
    <t>Andrej Havick</t>
  </si>
  <si>
    <t>Angelia Cleyburn</t>
  </si>
  <si>
    <t>Angelia Cockrem</t>
  </si>
  <si>
    <t>Angie Rizzetti</t>
  </si>
  <si>
    <t>Anjanette Goldie</t>
  </si>
  <si>
    <t>Annabel Antuk</t>
  </si>
  <si>
    <t>Annabella Danzey</t>
  </si>
  <si>
    <t>Annadiane Dykes</t>
  </si>
  <si>
    <t>Annetta Brentnall</t>
  </si>
  <si>
    <t>Annie Campsall</t>
  </si>
  <si>
    <t>Anny Mundford</t>
  </si>
  <si>
    <t>Anselma Attwater</t>
  </si>
  <si>
    <t>Anson Iddison</t>
  </si>
  <si>
    <t>Antone Harrold</t>
  </si>
  <si>
    <t>Antonius Lewry</t>
  </si>
  <si>
    <t>Arabella Fransewich</t>
  </si>
  <si>
    <t>Araldo Bilbrook</t>
  </si>
  <si>
    <t>Archambault Gillard</t>
  </si>
  <si>
    <t>Arda Curley</t>
  </si>
  <si>
    <t>Ardith Chill</t>
  </si>
  <si>
    <t>Arel De Lasci</t>
  </si>
  <si>
    <t>Arlana Ferrea</t>
  </si>
  <si>
    <t>Arleen Braidman</t>
  </si>
  <si>
    <t>Ashbey Tomaszewski</t>
  </si>
  <si>
    <t>Astrix Kitchingham</t>
  </si>
  <si>
    <t>Aube Follett</t>
  </si>
  <si>
    <t>Audra Kelston</t>
  </si>
  <si>
    <t>Auguste Rizon</t>
  </si>
  <si>
    <t>Augustin Waterhouse</t>
  </si>
  <si>
    <t>Aurea Corradino</t>
  </si>
  <si>
    <t>Aurelia Burgwin</t>
  </si>
  <si>
    <t>Aurlie McCarl</t>
  </si>
  <si>
    <t>Avrit Davidowsky</t>
  </si>
  <si>
    <t>Babb Pollins</t>
  </si>
  <si>
    <t>Bar O' Mahony</t>
  </si>
  <si>
    <t>Barnett Sillis</t>
  </si>
  <si>
    <t>Barney Chisnell</t>
  </si>
  <si>
    <t>Barrett Gudde</t>
  </si>
  <si>
    <t>Barrie Fallowes</t>
  </si>
  <si>
    <t>Bartholemy Flaherty</t>
  </si>
  <si>
    <t>Baudoin Alldridge</t>
  </si>
  <si>
    <t>Baxy Cargen</t>
  </si>
  <si>
    <t>Bayard Wellan</t>
  </si>
  <si>
    <t>Bear Gaish</t>
  </si>
  <si>
    <t>Bearnard Wardell</t>
  </si>
  <si>
    <t>Becca Ableson</t>
  </si>
  <si>
    <t>Becky Semkins</t>
  </si>
  <si>
    <t>Bee Fattorini</t>
  </si>
  <si>
    <t>Beitris Keaveney</t>
  </si>
  <si>
    <t>Beltran Mathon</t>
  </si>
  <si>
    <t>Belvia Umpleby</t>
  </si>
  <si>
    <t>Benedetto Gozzett</t>
  </si>
  <si>
    <t>Benedikta Paumier</t>
  </si>
  <si>
    <t>Benn Checci</t>
  </si>
  <si>
    <t>Berkly Imrie</t>
  </si>
  <si>
    <t>Bertine Byrd</t>
  </si>
  <si>
    <t>Berty Beelby</t>
  </si>
  <si>
    <t>Beryl Osborn</t>
  </si>
  <si>
    <t>Beryle Cottier</t>
  </si>
  <si>
    <t>Beryle Kenwell</t>
  </si>
  <si>
    <t>Bette-ann Munden</t>
  </si>
  <si>
    <t>Betti Lacasa</t>
  </si>
  <si>
    <t>Bettina Leffek</t>
  </si>
  <si>
    <t>Betty Fominov</t>
  </si>
  <si>
    <t>Bidget Tremellier</t>
  </si>
  <si>
    <t>Billy Neiland</t>
  </si>
  <si>
    <t>Birgit Domange</t>
  </si>
  <si>
    <t>Blake Kelloway</t>
  </si>
  <si>
    <t>Blancha McAmish</t>
  </si>
  <si>
    <t>Bo Kindley</t>
  </si>
  <si>
    <t>Bob Giannazzi</t>
  </si>
  <si>
    <t>Bobbe Castagneto</t>
  </si>
  <si>
    <t>Bobbe Piggott</t>
  </si>
  <si>
    <t>Bobbe Renner</t>
  </si>
  <si>
    <t>Bobby Folomkin</t>
  </si>
  <si>
    <t>Bobinette Hindsberg</t>
  </si>
  <si>
    <t>Borg Daile</t>
  </si>
  <si>
    <t>Boyce Tarte</t>
  </si>
  <si>
    <t>Boyd Bett</t>
  </si>
  <si>
    <t>Bram Revel</t>
  </si>
  <si>
    <t>Bran Sterke</t>
  </si>
  <si>
    <t>Brendan Grece</t>
  </si>
  <si>
    <t>Brenn Dundredge</t>
  </si>
  <si>
    <t>Brice Romera</t>
  </si>
  <si>
    <t>Brittani Thoresbie</t>
  </si>
  <si>
    <t>Broderick McGilvra</t>
  </si>
  <si>
    <t>Brook Drage</t>
  </si>
  <si>
    <t>Bunny Naulls</t>
  </si>
  <si>
    <t>Burnard Bartholin</t>
  </si>
  <si>
    <t>Byram Mergue</t>
  </si>
  <si>
    <t>Byron Acarson</t>
  </si>
  <si>
    <t>Caddric Atcheson</t>
  </si>
  <si>
    <t>Caddric Krzysztofiak</t>
  </si>
  <si>
    <t>Cam Jewster</t>
  </si>
  <si>
    <t>Camellia Kid</t>
  </si>
  <si>
    <t>Carlie Harce</t>
  </si>
  <si>
    <t>Carlie Linskill</t>
  </si>
  <si>
    <t>Carmelita Thowes</t>
  </si>
  <si>
    <t>Carmina Hubbuck</t>
  </si>
  <si>
    <t>Carney Clemencet</t>
  </si>
  <si>
    <t>Carolann Beine</t>
  </si>
  <si>
    <t>Carolee Winchcombe</t>
  </si>
  <si>
    <t>Casi Gwinnett</t>
  </si>
  <si>
    <t>Cassie Pinkerton</t>
  </si>
  <si>
    <t>Catarina Donn</t>
  </si>
  <si>
    <t>Catharine Scoines</t>
  </si>
  <si>
    <t>Cece Inker</t>
  </si>
  <si>
    <t>Cecil Weatherall</t>
  </si>
  <si>
    <t>Cecily Stebbings</t>
  </si>
  <si>
    <t>Celestia Dolohunty</t>
  </si>
  <si>
    <t>Celia Bakeup</t>
  </si>
  <si>
    <t>Celie MacCourt</t>
  </si>
  <si>
    <t>Chad Miguel</t>
  </si>
  <si>
    <t>Chaddie Bennie</t>
  </si>
  <si>
    <t>Chance Rowthorn</t>
  </si>
  <si>
    <t>Channa Belamy</t>
  </si>
  <si>
    <t>Chantal Mersh</t>
  </si>
  <si>
    <t>Charin Maplethorp</t>
  </si>
  <si>
    <t>Charin Penwarden</t>
  </si>
  <si>
    <t>Charis Crosier</t>
  </si>
  <si>
    <t>Charlean Keave</t>
  </si>
  <si>
    <t>Charmane Denys</t>
  </si>
  <si>
    <t>Chester Clowton</t>
  </si>
  <si>
    <t>Chiarra Shalders</t>
  </si>
  <si>
    <t>Chickie Ragless</t>
  </si>
  <si>
    <t>Chloette Bernardot</t>
  </si>
  <si>
    <t>Chloris Sorrell</t>
  </si>
  <si>
    <t>Chris Croster</t>
  </si>
  <si>
    <t>Christel Speak</t>
  </si>
  <si>
    <t>Christoffer O' Shea</t>
  </si>
  <si>
    <t>Christopher Grieveson</t>
  </si>
  <si>
    <t>Chrisy Blofeld</t>
  </si>
  <si>
    <t>Chuck Kendrick</t>
  </si>
  <si>
    <t>Cindra Burling</t>
  </si>
  <si>
    <t>Cissiee Raisbeck</t>
  </si>
  <si>
    <t>Claiborne Feye</t>
  </si>
  <si>
    <t>Claiborne Mottram</t>
  </si>
  <si>
    <t>Claudell Ayre</t>
  </si>
  <si>
    <t>Claudetta Rushe</t>
  </si>
  <si>
    <t>Claudie Weond</t>
  </si>
  <si>
    <t>Clayton Kingwell</t>
  </si>
  <si>
    <t>Clement Vasiliev</t>
  </si>
  <si>
    <t>Cleopatra Goodrum</t>
  </si>
  <si>
    <t>Cletis Giacomazzo</t>
  </si>
  <si>
    <t>Cleve Blowfelde</t>
  </si>
  <si>
    <t>Cobby Cromwell</t>
  </si>
  <si>
    <t>Codi Littrell</t>
  </si>
  <si>
    <t>Cody Verissimo</t>
  </si>
  <si>
    <t>Colene Elgey</t>
  </si>
  <si>
    <t>Conchita Bryde</t>
  </si>
  <si>
    <t>Connor Heaviside</t>
  </si>
  <si>
    <t>Conny Gheraldi</t>
  </si>
  <si>
    <t>Constance Halfhide</t>
  </si>
  <si>
    <t>Constanta Hatfull</t>
  </si>
  <si>
    <t>Cordi Switsur</t>
  </si>
  <si>
    <t>Cordy Odgaard</t>
  </si>
  <si>
    <t>Corine Drewett</t>
  </si>
  <si>
    <t>Corinna Catcheside</t>
  </si>
  <si>
    <t>Corney Curme</t>
  </si>
  <si>
    <t>Cornie Venour</t>
  </si>
  <si>
    <t>Correy Bourner</t>
  </si>
  <si>
    <t>Correy Cottingham</t>
  </si>
  <si>
    <t>Corrie Wass</t>
  </si>
  <si>
    <t>Cortney Gibbonson</t>
  </si>
  <si>
    <t>Cos Fluin</t>
  </si>
  <si>
    <t>Courtney Pallant</t>
  </si>
  <si>
    <t>Craggy Bril</t>
  </si>
  <si>
    <t>Cristina Aleixo</t>
  </si>
  <si>
    <t>Culley Farris</t>
  </si>
  <si>
    <t>Currey MacAllister</t>
  </si>
  <si>
    <t>Cybill Graddell</t>
  </si>
  <si>
    <t>Dael Camilletti</t>
  </si>
  <si>
    <t>Dagny Kornel</t>
  </si>
  <si>
    <t>Dalia Eburah</t>
  </si>
  <si>
    <t>Dallas Yarham</t>
  </si>
  <si>
    <t>Daniel Heinonen</t>
  </si>
  <si>
    <t>Darby Dummer</t>
  </si>
  <si>
    <t>Darcy Lochran</t>
  </si>
  <si>
    <t>Darice Heaford</t>
  </si>
  <si>
    <t>Darn Penquet</t>
  </si>
  <si>
    <t>Darrin Tingly</t>
  </si>
  <si>
    <t>Daryn Cassius</t>
  </si>
  <si>
    <t>Daryn Dibley</t>
  </si>
  <si>
    <t>Davida Caro</t>
  </si>
  <si>
    <t>De Drewitt</t>
  </si>
  <si>
    <t>Deana Staite</t>
  </si>
  <si>
    <t>Delainey Kiddy</t>
  </si>
  <si>
    <t>Dell Daveridge</t>
  </si>
  <si>
    <t>Dell Gut</t>
  </si>
  <si>
    <t>Delmar Beasant</t>
  </si>
  <si>
    <t>Demetris Micheli</t>
  </si>
  <si>
    <t>Denny O' Ronan</t>
  </si>
  <si>
    <t>Denyse O'Calleran</t>
  </si>
  <si>
    <t>Deonne Shortall</t>
  </si>
  <si>
    <t>Derick Snow</t>
  </si>
  <si>
    <t>Derrek Allpress</t>
  </si>
  <si>
    <t>Desdemona Eye</t>
  </si>
  <si>
    <t>Devan Crownshaw</t>
  </si>
  <si>
    <t>Devland Gritton</t>
  </si>
  <si>
    <t>Devon Magowan</t>
  </si>
  <si>
    <t>Devy Bulbrook</t>
  </si>
  <si>
    <t>Diane-marie Wincer</t>
  </si>
  <si>
    <t>Dianne Chardin</t>
  </si>
  <si>
    <t>Dick Drinkall</t>
  </si>
  <si>
    <t>Diena Peetermann</t>
  </si>
  <si>
    <t>Dinah Crutcher</t>
  </si>
  <si>
    <t>Dionne Skyner</t>
  </si>
  <si>
    <t>Doll Beauchamp</t>
  </si>
  <si>
    <t>Dollie Gadsden</t>
  </si>
  <si>
    <t>Dolores Duffie</t>
  </si>
  <si>
    <t>Dom Milella</t>
  </si>
  <si>
    <t>Domeniga Duke</t>
  </si>
  <si>
    <t>Don Flintiff</t>
  </si>
  <si>
    <t>Donalt Sangwin</t>
  </si>
  <si>
    <t>Donavon Fowle</t>
  </si>
  <si>
    <t>Donica Bonhome</t>
  </si>
  <si>
    <t>Donna Baskeyfied</t>
  </si>
  <si>
    <t>Donnie Hedlestone</t>
  </si>
  <si>
    <t>Donny Fries</t>
  </si>
  <si>
    <t>Doralin Baison</t>
  </si>
  <si>
    <t>Dorelia Bury</t>
  </si>
  <si>
    <t>Dorette Hinemoor</t>
  </si>
  <si>
    <t>Dorey Sopper</t>
  </si>
  <si>
    <t>Dorian Vizor</t>
  </si>
  <si>
    <t>Dorie de la Tremoille</t>
  </si>
  <si>
    <t>Dorotea Hollyman</t>
  </si>
  <si>
    <t>Dottie Rallin</t>
  </si>
  <si>
    <t>Dottie Tift</t>
  </si>
  <si>
    <t>Drake Jevon</t>
  </si>
  <si>
    <t>Duky Phizackerly</t>
  </si>
  <si>
    <t>Dyanna Aizikovitz</t>
  </si>
  <si>
    <t>Eal D'Ambrogio</t>
  </si>
  <si>
    <t>Eddi Sedgebeer</t>
  </si>
  <si>
    <t>Edeline Edney</t>
  </si>
  <si>
    <t>Edin Mathe</t>
  </si>
  <si>
    <t>Edin Yantsurev</t>
  </si>
  <si>
    <t>Effie Yurkov</t>
  </si>
  <si>
    <t>Elden Andriessen</t>
  </si>
  <si>
    <t>Elizabet Aizikowitz</t>
  </si>
  <si>
    <t>Elka Windress</t>
  </si>
  <si>
    <t>Elna Grise</t>
  </si>
  <si>
    <t>Elonore Goodings</t>
  </si>
  <si>
    <t>Elonore Joliffe</t>
  </si>
  <si>
    <t>Elsbeth Westerman</t>
  </si>
  <si>
    <t>Else Langcaster</t>
  </si>
  <si>
    <t>Elvina Angel</t>
  </si>
  <si>
    <t>Elysee Sketch</t>
  </si>
  <si>
    <t>Emalee Rolin</t>
  </si>
  <si>
    <t>Emiline Galgey</t>
  </si>
  <si>
    <t>Emiline Priddis</t>
  </si>
  <si>
    <t>Emlynne Heining</t>
  </si>
  <si>
    <t>Emlynne Laird</t>
  </si>
  <si>
    <t>Emlynne Palfrey</t>
  </si>
  <si>
    <t>Emmaline Rasmus</t>
  </si>
  <si>
    <t>Enriqueta Ixor</t>
  </si>
  <si>
    <t>Ericka Tripp</t>
  </si>
  <si>
    <t>Ermin Beeble</t>
  </si>
  <si>
    <t>Erny Stenyng</t>
  </si>
  <si>
    <t>Ethel Ryles</t>
  </si>
  <si>
    <t>Ethelda Hobbing</t>
  </si>
  <si>
    <t>Eustace Stenton</t>
  </si>
  <si>
    <t>Eveleen Bletsor</t>
  </si>
  <si>
    <t>Evelina Dacca</t>
  </si>
  <si>
    <t>Evy Wilsone</t>
  </si>
  <si>
    <t>Ewell Hanby</t>
  </si>
  <si>
    <t>Faber Eilhart</t>
  </si>
  <si>
    <t>Fanchette Parlot</t>
  </si>
  <si>
    <t>Fanchon Haughian</t>
  </si>
  <si>
    <t>Fanny Flanagan</t>
  </si>
  <si>
    <t>Faunie Brigham</t>
  </si>
  <si>
    <t>Felecia Dodgson</t>
  </si>
  <si>
    <t>Felice Miell</t>
  </si>
  <si>
    <t>Felicia Jecock</t>
  </si>
  <si>
    <t>Feliks Babber</t>
  </si>
  <si>
    <t>Felita Dauney</t>
  </si>
  <si>
    <t>Felita Eshmade</t>
  </si>
  <si>
    <t>Ferdie Tourry</t>
  </si>
  <si>
    <t>Fernando Sulman</t>
  </si>
  <si>
    <t>Ferrell Ferber</t>
  </si>
  <si>
    <t>Fielding Keinrat</t>
  </si>
  <si>
    <t>Filip Antcliffe</t>
  </si>
  <si>
    <t>Fleur Parres</t>
  </si>
  <si>
    <t>Florinda Matusovsky</t>
  </si>
  <si>
    <t>Flory Crumpe</t>
  </si>
  <si>
    <t>Flynn Antony</t>
  </si>
  <si>
    <t>Foster Constance</t>
  </si>
  <si>
    <t>Francesco Dressel</t>
  </si>
  <si>
    <t>Franny Kienlein</t>
  </si>
  <si>
    <t>Frans Habbergham</t>
  </si>
  <si>
    <t>Fransisco Malecky</t>
  </si>
  <si>
    <t>Freda Hollows</t>
  </si>
  <si>
    <t>Freeland Missenden</t>
  </si>
  <si>
    <t>Friederike Drysdale</t>
  </si>
  <si>
    <t>Gabey Cogan</t>
  </si>
  <si>
    <t>Gabie Tweed</t>
  </si>
  <si>
    <t>Gabriel Starcks</t>
  </si>
  <si>
    <t>Gaile Goggin</t>
  </si>
  <si>
    <t>Gale Croysdale</t>
  </si>
  <si>
    <t>Gale Heindrick</t>
  </si>
  <si>
    <t>Gallard Gatheral</t>
  </si>
  <si>
    <t>Gardy Dimitriou</t>
  </si>
  <si>
    <t>Gaspar McGavin</t>
  </si>
  <si>
    <t>Gay Eilhersen</t>
  </si>
  <si>
    <t>Gay Rizzello</t>
  </si>
  <si>
    <t>Geneva Standley</t>
  </si>
  <si>
    <t>Geoffrey Siuda</t>
  </si>
  <si>
    <t>Georgena Bentjens</t>
  </si>
  <si>
    <t>Gerard Pirdy</t>
  </si>
  <si>
    <t>Gerardo Schonfeld</t>
  </si>
  <si>
    <t>Giacobo Skingle</t>
  </si>
  <si>
    <t>Giana Tonnesen</t>
  </si>
  <si>
    <t>Gilberto Cornier</t>
  </si>
  <si>
    <t>Giordano Lorenzin</t>
  </si>
  <si>
    <t>Gladi Ducker</t>
  </si>
  <si>
    <t>Glory Clemon</t>
  </si>
  <si>
    <t>Gnni Cheeke</t>
  </si>
  <si>
    <t>Godfry Poinsett</t>
  </si>
  <si>
    <t>Goldie Wynes</t>
  </si>
  <si>
    <t>Gonzales Cicculi</t>
  </si>
  <si>
    <t>Gothart Bamfield</t>
  </si>
  <si>
    <t>Graeme Whitehead</t>
  </si>
  <si>
    <t>Gran Sibray</t>
  </si>
  <si>
    <t>Granger Fantham</t>
  </si>
  <si>
    <t>Granger Smallcombe</t>
  </si>
  <si>
    <t>Granville Alberts</t>
  </si>
  <si>
    <t>Grazia Oats</t>
  </si>
  <si>
    <t>Gregg Hawkyens</t>
  </si>
  <si>
    <t>Gregorius Kislingbury</t>
  </si>
  <si>
    <t>Gregorius Trengrove</t>
  </si>
  <si>
    <t>Grete Holborn</t>
  </si>
  <si>
    <t>Guenevere Ruggen</t>
  </si>
  <si>
    <t>Gunilla Lynch</t>
  </si>
  <si>
    <t>Gussy Broadbear</t>
  </si>
  <si>
    <t>Gustaf Ciccotti</t>
  </si>
  <si>
    <t>Guthrey Petracci</t>
  </si>
  <si>
    <t>Gwenni Ratt</t>
  </si>
  <si>
    <t>Hadley Reuven</t>
  </si>
  <si>
    <t>Hailee Radbone</t>
  </si>
  <si>
    <t>Hall Ranner</t>
  </si>
  <si>
    <t>Hally Lorait</t>
  </si>
  <si>
    <t>Hamish MacSherry</t>
  </si>
  <si>
    <t>Hamish Skeech</t>
  </si>
  <si>
    <t>Hamlen Pallister</t>
  </si>
  <si>
    <t>Harland Trematick</t>
  </si>
  <si>
    <t>Hartley Mattioli</t>
  </si>
  <si>
    <t>Harwilll Bishell</t>
  </si>
  <si>
    <t>Haslett Jodrelle</t>
  </si>
  <si>
    <t>Hatty Dovydenas</t>
  </si>
  <si>
    <t>Hayward Goulter</t>
  </si>
  <si>
    <t>Hazel Iacopini</t>
  </si>
  <si>
    <t>Hazel Saill</t>
  </si>
  <si>
    <t>Heall Perris</t>
  </si>
  <si>
    <t>Heda Fromant</t>
  </si>
  <si>
    <t>Helaina Rainforth</t>
  </si>
  <si>
    <t>Helli Petroulis</t>
  </si>
  <si>
    <t>Heloise Zeal</t>
  </si>
  <si>
    <t>Henderson Crowne</t>
  </si>
  <si>
    <t>Herbie Peppard</t>
  </si>
  <si>
    <t>Hermann Larvor</t>
  </si>
  <si>
    <t>Herta Layne</t>
  </si>
  <si>
    <t>Hetti Measures</t>
  </si>
  <si>
    <t>Hetti Penson</t>
  </si>
  <si>
    <t>Hewet Synnot</t>
  </si>
  <si>
    <t>Hildegarde Brangan</t>
  </si>
  <si>
    <t>Hillel Mairs</t>
  </si>
  <si>
    <t>Homer Dulany</t>
  </si>
  <si>
    <t>Hussein Olliff</t>
  </si>
  <si>
    <t>Hy Zanetto</t>
  </si>
  <si>
    <t>Ibby Charters</t>
  </si>
  <si>
    <t>Ilaire Sprakes</t>
  </si>
  <si>
    <t>Ilka Gurnee</t>
  </si>
  <si>
    <t>Ilysa Whapple</t>
  </si>
  <si>
    <t>Ingamar Eberlein</t>
  </si>
  <si>
    <t>Ingeberg Mulliner</t>
  </si>
  <si>
    <t>Ingelbert Hotchkin</t>
  </si>
  <si>
    <t>Inger Bouldon</t>
  </si>
  <si>
    <t>Innis Renhard</t>
  </si>
  <si>
    <t>Iorgo Kleinert</t>
  </si>
  <si>
    <t>Ira Sjostrom</t>
  </si>
  <si>
    <t>Irv Hay</t>
  </si>
  <si>
    <t>Irvine Phillpot</t>
  </si>
  <si>
    <t>Isa Blazewicz</t>
  </si>
  <si>
    <t>Isac Jesper</t>
  </si>
  <si>
    <t>Isahella Hagland</t>
  </si>
  <si>
    <t>Isidore Hussey</t>
  </si>
  <si>
    <t>Isis Hessel</t>
  </si>
  <si>
    <t>Isis Pikett</t>
  </si>
  <si>
    <t>Itch Norquoy</t>
  </si>
  <si>
    <t>Izaak Primak</t>
  </si>
  <si>
    <t>Jacinthe Balsillie</t>
  </si>
  <si>
    <t>Jackquelin Chugg</t>
  </si>
  <si>
    <t>Jacquelyn Maha</t>
  </si>
  <si>
    <t>Jaimie Hatz</t>
  </si>
  <si>
    <t>Jami Redholes</t>
  </si>
  <si>
    <t>Jammie Cloke</t>
  </si>
  <si>
    <t>Janella Eden</t>
  </si>
  <si>
    <t>Janella Millett</t>
  </si>
  <si>
    <t>Janeva Edinboro</t>
  </si>
  <si>
    <t>Janifer Bagot</t>
  </si>
  <si>
    <t>Jany Rudeforth</t>
  </si>
  <si>
    <t>Jaquenette Skentelbery</t>
  </si>
  <si>
    <t>Jarred Camillo</t>
  </si>
  <si>
    <t>Jarret Toye</t>
  </si>
  <si>
    <t>Jasper Sisneros</t>
  </si>
  <si>
    <t>Javier Causnett</t>
  </si>
  <si>
    <t>Javier Kopke</t>
  </si>
  <si>
    <t>Jed Kennicott</t>
  </si>
  <si>
    <t>Jeffrey Dufaire</t>
  </si>
  <si>
    <t>Jemimah Ethelston</t>
  </si>
  <si>
    <t>Jennica Tewelson</t>
  </si>
  <si>
    <t>Jennifer Rangall</t>
  </si>
  <si>
    <t>Jennifer Wilkisson</t>
  </si>
  <si>
    <t>Jeno Capey</t>
  </si>
  <si>
    <t>Jeno Druitt</t>
  </si>
  <si>
    <t>Jereme Gippes</t>
  </si>
  <si>
    <t>Jermaine Branchett</t>
  </si>
  <si>
    <t>Jessica McNess</t>
  </si>
  <si>
    <t>Jewelle Shenton</t>
  </si>
  <si>
    <t>Jilly Dreng</t>
  </si>
  <si>
    <t>Jimmy Dymoke</t>
  </si>
  <si>
    <t>Joceline Reddoch</t>
  </si>
  <si>
    <t>Jocko Pray</t>
  </si>
  <si>
    <t>Jodee Caldicott</t>
  </si>
  <si>
    <t>Joey Jefferys</t>
  </si>
  <si>
    <t>Johna Bluck</t>
  </si>
  <si>
    <t>Johnath Fairebrother</t>
  </si>
  <si>
    <t>Jordana Halden</t>
  </si>
  <si>
    <t>Jorge Bettison</t>
  </si>
  <si>
    <t>Josefina Ferens</t>
  </si>
  <si>
    <t>Joshuah Awdry</t>
  </si>
  <si>
    <t>Judd De Leek</t>
  </si>
  <si>
    <t>Jule Deehan</t>
  </si>
  <si>
    <t>Julio Armytage</t>
  </si>
  <si>
    <t>Julius Mccaull</t>
  </si>
  <si>
    <t>Kacy Canto</t>
  </si>
  <si>
    <t>Kaela Nottram</t>
  </si>
  <si>
    <t>Kaja Loxton</t>
  </si>
  <si>
    <t>Kameko Philbrick</t>
  </si>
  <si>
    <t>Kandace Cragell</t>
  </si>
  <si>
    <t>Kandy Heddan</t>
  </si>
  <si>
    <t>Kari Swede</t>
  </si>
  <si>
    <t>Karl Imorts</t>
  </si>
  <si>
    <t>Karlan Karby</t>
  </si>
  <si>
    <t>Karry Flanders</t>
  </si>
  <si>
    <t>Karylin Huddart</t>
  </si>
  <si>
    <t>Katerina Melloi</t>
  </si>
  <si>
    <t>Kathleen Diable</t>
  </si>
  <si>
    <t>Keefer Cake</t>
  </si>
  <si>
    <t>Ken Lestrange</t>
  </si>
  <si>
    <t>Kendra Backshell</t>
  </si>
  <si>
    <t>Kendra Glison</t>
  </si>
  <si>
    <t>Kenton Wetherick</t>
  </si>
  <si>
    <t>Kerr Patise</t>
  </si>
  <si>
    <t>Ketty Bromehead</t>
  </si>
  <si>
    <t>Kevan Grinsted</t>
  </si>
  <si>
    <t>Kienan Ferson</t>
  </si>
  <si>
    <t>Kienan Scholard</t>
  </si>
  <si>
    <t>Killian Osler</t>
  </si>
  <si>
    <t>Kim Kemery</t>
  </si>
  <si>
    <t>Kimberli Mustchin</t>
  </si>
  <si>
    <t>Kipper Boorn</t>
  </si>
  <si>
    <t>Kippie Marrison</t>
  </si>
  <si>
    <t>Kiri Avramow</t>
  </si>
  <si>
    <t>Kizzie Warman</t>
  </si>
  <si>
    <t>Klarika Egglestone</t>
  </si>
  <si>
    <t>Konstantine Thoumasson</t>
  </si>
  <si>
    <t>Koralle Heads</t>
  </si>
  <si>
    <t>Koren Ferretti</t>
  </si>
  <si>
    <t>Koressa O'Geneay</t>
  </si>
  <si>
    <t>Kris O'Cullen</t>
  </si>
  <si>
    <t>Krissie Hammett</t>
  </si>
  <si>
    <t>Kristos Streight</t>
  </si>
  <si>
    <t>Kylie Mowat</t>
  </si>
  <si>
    <t>Kynthia Berick</t>
  </si>
  <si>
    <t>Lacee Burtenshaw</t>
  </si>
  <si>
    <t>Lacee Tanti</t>
  </si>
  <si>
    <t>Lamond Gheeraert</t>
  </si>
  <si>
    <t>Laryssa Benediktovich</t>
  </si>
  <si>
    <t>Laurence Ellingham</t>
  </si>
  <si>
    <t>Lauritz Ledgley</t>
  </si>
  <si>
    <t>Lawrence Pratt</t>
  </si>
  <si>
    <t>Layne Imason</t>
  </si>
  <si>
    <t>Leesa Flaonier</t>
  </si>
  <si>
    <t>Leia Kernan</t>
  </si>
  <si>
    <t>Lem Pennacci</t>
  </si>
  <si>
    <t>Lemuel Rignold</t>
  </si>
  <si>
    <t>Lenci Haggerstone</t>
  </si>
  <si>
    <t>Lenette Dwerryhouse</t>
  </si>
  <si>
    <t>Lenka Rushmer</t>
  </si>
  <si>
    <t>Lenore Messenbird</t>
  </si>
  <si>
    <t>Leonie Cullrford</t>
  </si>
  <si>
    <t>Leonore Francisco</t>
  </si>
  <si>
    <t>Leontine Rubrow</t>
  </si>
  <si>
    <t>Leta Clarricoates</t>
  </si>
  <si>
    <t>Lewes Danes</t>
  </si>
  <si>
    <t>Lexie Mallan</t>
  </si>
  <si>
    <t>Lind Conyers</t>
  </si>
  <si>
    <t>Lindon Agnolo</t>
  </si>
  <si>
    <t>Lindy Uttermare</t>
  </si>
  <si>
    <t>Linn Alaway</t>
  </si>
  <si>
    <t>Linus Flippelli</t>
  </si>
  <si>
    <t>Lisa Goodger</t>
  </si>
  <si>
    <t>Livy Lathleiff</t>
  </si>
  <si>
    <t>Llywellyn Oscroft</t>
  </si>
  <si>
    <t>Lora Dukes</t>
  </si>
  <si>
    <t>Lorelei Nardoni</t>
  </si>
  <si>
    <t>Lorenzo Yeoland</t>
  </si>
  <si>
    <t>Lorianne Kyneton</t>
  </si>
  <si>
    <t>Lorin Guerrazzi</t>
  </si>
  <si>
    <t>Lothaire Mizzi</t>
  </si>
  <si>
    <t>Lowell Keenleyside</t>
  </si>
  <si>
    <t>Loydie Langlais</t>
  </si>
  <si>
    <t>Lucienne Scargle</t>
  </si>
  <si>
    <t>Lukas Whittlesee</t>
  </si>
  <si>
    <t>Lyell Murch</t>
  </si>
  <si>
    <t>Lyn Entwistle</t>
  </si>
  <si>
    <t>Lyndsey MacManus</t>
  </si>
  <si>
    <t>Lyndsey Megany</t>
  </si>
  <si>
    <t>Lynnea Danton</t>
  </si>
  <si>
    <t>Lyon Ibert</t>
  </si>
  <si>
    <t>Mab Blakemore</t>
  </si>
  <si>
    <t>Madelaine Sharples</t>
  </si>
  <si>
    <t>Madelene Prinn</t>
  </si>
  <si>
    <t>Mag Armistead</t>
  </si>
  <si>
    <t>Maggy Baistow</t>
  </si>
  <si>
    <t>Maggy Harby</t>
  </si>
  <si>
    <t>Mahala Ludwell</t>
  </si>
  <si>
    <t>Maisie Sarvar</t>
  </si>
  <si>
    <t>Maitilde Boxill</t>
  </si>
  <si>
    <t>Mallory Shrimpling</t>
  </si>
  <si>
    <t>Malynda Glawsop</t>
  </si>
  <si>
    <t>Malynda Purbrick</t>
  </si>
  <si>
    <t>Man Fright</t>
  </si>
  <si>
    <t>Manuel Darrigoe</t>
  </si>
  <si>
    <t>Mar McIver</t>
  </si>
  <si>
    <t>Margarette Sterland</t>
  </si>
  <si>
    <t>Margie Palleske</t>
  </si>
  <si>
    <t>Marguerite Graves</t>
  </si>
  <si>
    <t>Marianna Vedmore</t>
  </si>
  <si>
    <t>Marie-jeanne Redgrave</t>
  </si>
  <si>
    <t>Marja Urion</t>
  </si>
  <si>
    <t>Marjorie Yoxen</t>
  </si>
  <si>
    <t>Marlena Howsden</t>
  </si>
  <si>
    <t>Marne Mingey</t>
  </si>
  <si>
    <t>Marris Grcic</t>
  </si>
  <si>
    <t>Martie Brimilcombe</t>
  </si>
  <si>
    <t>Marty Kidstoun</t>
  </si>
  <si>
    <t>Marty Scholl</t>
  </si>
  <si>
    <t>Marvin Gundry</t>
  </si>
  <si>
    <t>Marvin Malloy</t>
  </si>
  <si>
    <t>Mathew Goulter</t>
  </si>
  <si>
    <t>Mathilda Matiasek</t>
  </si>
  <si>
    <t>Maurie Bartol</t>
  </si>
  <si>
    <t>Maxim McParland</t>
  </si>
  <si>
    <t>Meade Birkin</t>
  </si>
  <si>
    <t>Melania Beadle</t>
  </si>
  <si>
    <t>Melli Brockway</t>
  </si>
  <si>
    <t>Mellisa Mebes</t>
  </si>
  <si>
    <t>Melodie OIlier</t>
  </si>
  <si>
    <t>Melosa Kippen</t>
  </si>
  <si>
    <t>Melvin Wharfe</t>
  </si>
  <si>
    <t>Mercedes Acott</t>
  </si>
  <si>
    <t>Merell Zanazzi</t>
  </si>
  <si>
    <t>Merrel Steptow</t>
  </si>
  <si>
    <t>Merrile Cobbledick</t>
  </si>
  <si>
    <t>Michale Delves</t>
  </si>
  <si>
    <t>Micki Fero</t>
  </si>
  <si>
    <t>Milty Middis</t>
  </si>
  <si>
    <t>Mina Elstone</t>
  </si>
  <si>
    <t>Mindy Bogey</t>
  </si>
  <si>
    <t>Minetta Ackrill</t>
  </si>
  <si>
    <t>Minette Whellans</t>
  </si>
  <si>
    <t>Minni Alabaster</t>
  </si>
  <si>
    <t>Minny Chamberlayne</t>
  </si>
  <si>
    <t>Miran Doidge</t>
  </si>
  <si>
    <t>Mitch Attwool</t>
  </si>
  <si>
    <t>Modesty MacConnechie</t>
  </si>
  <si>
    <t>Mohandis Spurden</t>
  </si>
  <si>
    <t>Monica Fearon</t>
  </si>
  <si>
    <t>Monique Canty</t>
  </si>
  <si>
    <t>Mord Meriet</t>
  </si>
  <si>
    <t>Mordy Van Der Vlies</t>
  </si>
  <si>
    <t>Morgen Seson</t>
  </si>
  <si>
    <t>Morly Rocks</t>
  </si>
  <si>
    <t>Morna Hansed</t>
  </si>
  <si>
    <t>Mozelle Calcutt</t>
  </si>
  <si>
    <t>Muffin Yallop</t>
  </si>
  <si>
    <t>Murdock Hame</t>
  </si>
  <si>
    <t>Murielle Lorinez</t>
  </si>
  <si>
    <t>Myles Seawright</t>
  </si>
  <si>
    <t>Myrle Dearden</t>
  </si>
  <si>
    <t>Nadeen Broomer</t>
  </si>
  <si>
    <t>Nalani Pirrone</t>
  </si>
  <si>
    <t>Nanine McCarthy</t>
  </si>
  <si>
    <t>Nannie Naseby</t>
  </si>
  <si>
    <t>Nanny Izhakov</t>
  </si>
  <si>
    <t>Nanny Lush</t>
  </si>
  <si>
    <t>Nat Saleway</t>
  </si>
  <si>
    <t>Natal Vigrass</t>
  </si>
  <si>
    <t>Nataniel Helkin</t>
  </si>
  <si>
    <t>Nathan Sictornes</t>
  </si>
  <si>
    <t>Nathaniel Bloxland</t>
  </si>
  <si>
    <t>Natka Leethem</t>
  </si>
  <si>
    <t>Nealson Cuttler</t>
  </si>
  <si>
    <t>Neely Broadberrie</t>
  </si>
  <si>
    <t>Nelie Garnson</t>
  </si>
  <si>
    <t>Nertie Poolman</t>
  </si>
  <si>
    <t>Neville Piatto</t>
  </si>
  <si>
    <t>Nevins Glowacz</t>
  </si>
  <si>
    <t>Nevsa Fields</t>
  </si>
  <si>
    <t>Nick Brakespear</t>
  </si>
  <si>
    <t>Nickey Dimbleby</t>
  </si>
  <si>
    <t>Nickey Youles</t>
  </si>
  <si>
    <t>Nicko Corps</t>
  </si>
  <si>
    <t>Nicky Ayris</t>
  </si>
  <si>
    <t>Nico Hubert</t>
  </si>
  <si>
    <t>Nicolas Aiton</t>
  </si>
  <si>
    <t>Nicolina Jenny</t>
  </si>
  <si>
    <t>Niels Leake</t>
  </si>
  <si>
    <t>Nissie Rudland</t>
  </si>
  <si>
    <t>Noak Wyvill</t>
  </si>
  <si>
    <t>Noam Climance</t>
  </si>
  <si>
    <t>Nobe Buney</t>
  </si>
  <si>
    <t>Noel Chisholm</t>
  </si>
  <si>
    <t>Nona Linklater</t>
  </si>
  <si>
    <t>Noni Furber</t>
  </si>
  <si>
    <t>Norene Magauran</t>
  </si>
  <si>
    <t>Odelia Skerme</t>
  </si>
  <si>
    <t>Odille Thynne</t>
  </si>
  <si>
    <t>Olag Baudassi</t>
  </si>
  <si>
    <t>Oran Colbeck</t>
  </si>
  <si>
    <t>Orazio Comber</t>
  </si>
  <si>
    <t>Orbadiah Duny</t>
  </si>
  <si>
    <t>Orion Dyott</t>
  </si>
  <si>
    <t>Orland Tadman</t>
  </si>
  <si>
    <t>Orly Ryland</t>
  </si>
  <si>
    <t>Osbert Robins</t>
  </si>
  <si>
    <t>Osmund Clausen-Thue</t>
  </si>
  <si>
    <t>Othello Syseland</t>
  </si>
  <si>
    <t>Pall Redford</t>
  </si>
  <si>
    <t>Pammi Endacott</t>
  </si>
  <si>
    <t>Paola Brydell</t>
  </si>
  <si>
    <t>Parker Tofful</t>
  </si>
  <si>
    <t>Parsifal Metrick</t>
  </si>
  <si>
    <t>Patrice Trobe</t>
  </si>
  <si>
    <t>Patsy Vasilenko</t>
  </si>
  <si>
    <t>Paula Denis</t>
  </si>
  <si>
    <t>Paulie Fonzone</t>
  </si>
  <si>
    <t>Paulo Yea</t>
  </si>
  <si>
    <t>Pen Wye</t>
  </si>
  <si>
    <t>Perice Eberz</t>
  </si>
  <si>
    <t>Perkin Stonner</t>
  </si>
  <si>
    <t>Perry Lyfield</t>
  </si>
  <si>
    <t>Petey Kingsbury</t>
  </si>
  <si>
    <t>Peyter Lauritzen</t>
  </si>
  <si>
    <t>Peyter Matignon</t>
  </si>
  <si>
    <t>Philipa Petrushanko</t>
  </si>
  <si>
    <t>Phyllys Ormerod</t>
  </si>
  <si>
    <t>Pippo Witherington</t>
  </si>
  <si>
    <t>Portie Cutchie</t>
  </si>
  <si>
    <t>Pren Bess</t>
  </si>
  <si>
    <t>Pru Durban</t>
  </si>
  <si>
    <t>Queenie Veel</t>
  </si>
  <si>
    <t>Quinn Parsons</t>
  </si>
  <si>
    <t>Quintina Heavyside</t>
  </si>
  <si>
    <t>Quinton Fouracres</t>
  </si>
  <si>
    <t>Rachelle Elizabeth</t>
  </si>
  <si>
    <t>Rafaela Treacher</t>
  </si>
  <si>
    <t>Rafferty Pursglove</t>
  </si>
  <si>
    <t>Raleigh Lepere</t>
  </si>
  <si>
    <t>Ramon Cheak</t>
  </si>
  <si>
    <t>Rana Sharer</t>
  </si>
  <si>
    <t>Randal Longfield</t>
  </si>
  <si>
    <t>Ransell McKall</t>
  </si>
  <si>
    <t>Raphaela Schankelborg</t>
  </si>
  <si>
    <t>Rasia Jacquemard</t>
  </si>
  <si>
    <t>Raynor McGilvary</t>
  </si>
  <si>
    <t>Rea Offell</t>
  </si>
  <si>
    <t>Read Cutts</t>
  </si>
  <si>
    <t>Reamonn Aynold</t>
  </si>
  <si>
    <t>Rebeka Worg</t>
  </si>
  <si>
    <t>Redd Simao</t>
  </si>
  <si>
    <t>Reese Lidgey</t>
  </si>
  <si>
    <t>Reggie Thickpenny</t>
  </si>
  <si>
    <t>Reggis Pracy</t>
  </si>
  <si>
    <t>Reinaldos Kirtley</t>
  </si>
  <si>
    <t>Rem Furman</t>
  </si>
  <si>
    <t>Reube Cawley</t>
  </si>
  <si>
    <t>Reynolds Crookshanks</t>
  </si>
  <si>
    <t>Rhetta Elnaugh</t>
  </si>
  <si>
    <t>Rhetta Zywicki</t>
  </si>
  <si>
    <t>Rhianon Broxup</t>
  </si>
  <si>
    <t>Rhodie Strathern</t>
  </si>
  <si>
    <t>Rhona Lequeux</t>
  </si>
  <si>
    <t>Rickey Readie</t>
  </si>
  <si>
    <t>Rickie Faltin</t>
  </si>
  <si>
    <t>Rikki Tomkowicz</t>
  </si>
  <si>
    <t>Rivy Farington</t>
  </si>
  <si>
    <t>Rochette Huscroft</t>
  </si>
  <si>
    <t>Rod Gowdie</t>
  </si>
  <si>
    <t>Rodger Raven</t>
  </si>
  <si>
    <t>Rodolfo Willoway</t>
  </si>
  <si>
    <t>Romain Avrashin</t>
  </si>
  <si>
    <t>Ronda Pyson</t>
  </si>
  <si>
    <t>Rosaleen Scholar</t>
  </si>
  <si>
    <t>Rosaline McLae</t>
  </si>
  <si>
    <t>Roxie Deaconson</t>
  </si>
  <si>
    <t>Roxine Drivers</t>
  </si>
  <si>
    <t>Rozele Relton</t>
  </si>
  <si>
    <t>Rudiger Di Bartolomeo</t>
  </si>
  <si>
    <t>Rudy Farquharson</t>
  </si>
  <si>
    <t>Rufus Flear</t>
  </si>
  <si>
    <t>Russell Donet</t>
  </si>
  <si>
    <t>Rutger Pithcock</t>
  </si>
  <si>
    <t>Ruy Cancellieri</t>
  </si>
  <si>
    <t>Ryann Stickler</t>
  </si>
  <si>
    <t>Sacha Bruun</t>
  </si>
  <si>
    <t>Sada Roseborough</t>
  </si>
  <si>
    <t>Salomo Cushworth</t>
  </si>
  <si>
    <t>Samuele Ales0</t>
  </si>
  <si>
    <t>Samuele Klaaassen</t>
  </si>
  <si>
    <t>Sarajane Potter</t>
  </si>
  <si>
    <t>Saree Ellesworth</t>
  </si>
  <si>
    <t>Sarette Ducarel</t>
  </si>
  <si>
    <t>Say Risborough</t>
  </si>
  <si>
    <t>Scarlett Oliffe</t>
  </si>
  <si>
    <t>Sean Lorenzetti</t>
  </si>
  <si>
    <t>Selene Shales</t>
  </si>
  <si>
    <t>Selia Ragles</t>
  </si>
  <si>
    <t>Selle Scurrer</t>
  </si>
  <si>
    <t>Selma McMillian</t>
  </si>
  <si>
    <t>Serena Earley</t>
  </si>
  <si>
    <t>Shannon List</t>
  </si>
  <si>
    <t>Sharity Wickens</t>
  </si>
  <si>
    <t>Sharl Southerill</t>
  </si>
  <si>
    <t>Sharona Danilchik</t>
  </si>
  <si>
    <t>Shawnee Critchlow</t>
  </si>
  <si>
    <t>Shay Couronne</t>
  </si>
  <si>
    <t>Shaylynn Lobe</t>
  </si>
  <si>
    <t>Shelley Gehring</t>
  </si>
  <si>
    <t>Shelley Titley</t>
  </si>
  <si>
    <t>Shelli De Banke</t>
  </si>
  <si>
    <t>Shelli Keynd</t>
  </si>
  <si>
    <t>Sheppard Yann</t>
  </si>
  <si>
    <t>Sherman Mewrcik</t>
  </si>
  <si>
    <t>Shermy Moseby</t>
  </si>
  <si>
    <t>Shirleen Welds</t>
  </si>
  <si>
    <t>Shirlene Edmondson</t>
  </si>
  <si>
    <t>Sibella Rushbrooke</t>
  </si>
  <si>
    <t>Sidney Gawen</t>
  </si>
  <si>
    <t>Sigfrid Busch</t>
  </si>
  <si>
    <t>Silas Deehan</t>
  </si>
  <si>
    <t>Silvan McShea</t>
  </si>
  <si>
    <t>Silvana Northeast</t>
  </si>
  <si>
    <t>Silvanus Enefer</t>
  </si>
  <si>
    <t>Silvio Iorizzi</t>
  </si>
  <si>
    <t>Silvio Strase</t>
  </si>
  <si>
    <t>Sim Pamphilon</t>
  </si>
  <si>
    <t>Simone Capon</t>
  </si>
  <si>
    <t>Sinclare Edsell</t>
  </si>
  <si>
    <t>Skelly Dolohunty</t>
  </si>
  <si>
    <t>Skipton Morrall</t>
  </si>
  <si>
    <t>Sky Farnish</t>
  </si>
  <si>
    <t>Skylar Jeyness</t>
  </si>
  <si>
    <t>Sloan Diviny</t>
  </si>
  <si>
    <t>Spencer Wastell</t>
  </si>
  <si>
    <t>Stacy Pickworth</t>
  </si>
  <si>
    <t>Stan Barribal</t>
  </si>
  <si>
    <t>Stanford Rodliff</t>
  </si>
  <si>
    <t>Stanislaus Gilroy</t>
  </si>
  <si>
    <t>Stanislaus Valsler</t>
  </si>
  <si>
    <t>Stanly Keets</t>
  </si>
  <si>
    <t>Starr Arpin</t>
  </si>
  <si>
    <t>Stearne Count</t>
  </si>
  <si>
    <t>Stevana Woodham</t>
  </si>
  <si>
    <t>Suzanna Bollam</t>
  </si>
  <si>
    <t>Sylas Jennaroy</t>
  </si>
  <si>
    <t>Tallie felip</t>
  </si>
  <si>
    <t>Tamarah Fero</t>
  </si>
  <si>
    <t>Tammie Drynan</t>
  </si>
  <si>
    <t>Tani Taffarello</t>
  </si>
  <si>
    <t>Tania Craggs</t>
  </si>
  <si>
    <t>Tawnya Menary</t>
  </si>
  <si>
    <t>Teddi Crowthe</t>
  </si>
  <si>
    <t>Teddi Quadri</t>
  </si>
  <si>
    <t>Temple Castiglione</t>
  </si>
  <si>
    <t>Terence Vanyutin</t>
  </si>
  <si>
    <t>Terencio O'Moylan</t>
  </si>
  <si>
    <t>Terri Farra</t>
  </si>
  <si>
    <t>Terri Lyford</t>
  </si>
  <si>
    <t>Terry Sheryn</t>
  </si>
  <si>
    <t>Tersina Castagne</t>
  </si>
  <si>
    <t>Tess Benediktovich</t>
  </si>
  <si>
    <t>Tess Bennison</t>
  </si>
  <si>
    <t>Theda Grizard</t>
  </si>
  <si>
    <t>Theo Bowne</t>
  </si>
  <si>
    <t>Theo Jacobovitz</t>
  </si>
  <si>
    <t>Theresita Newbury</t>
  </si>
  <si>
    <t>Tiffany Scardafield</t>
  </si>
  <si>
    <t>Tildie Tilzey</t>
  </si>
  <si>
    <t>Timofei Woofinden</t>
  </si>
  <si>
    <t>Timoteo Glisane</t>
  </si>
  <si>
    <t>Tomas Sutty</t>
  </si>
  <si>
    <t>Tomasina Cotmore</t>
  </si>
  <si>
    <t>Torie Gottelier</t>
  </si>
  <si>
    <t>Tory Walas</t>
  </si>
  <si>
    <t>Trescha Jedrachowicz</t>
  </si>
  <si>
    <t>Trina Le Sarr</t>
  </si>
  <si>
    <t>Trumaine Tewelson</t>
  </si>
  <si>
    <t>Tuckie Mathonnet</t>
  </si>
  <si>
    <t>Tymon Zanetti</t>
  </si>
  <si>
    <t>Ugo Southerden</t>
  </si>
  <si>
    <t>Una Welberry</t>
  </si>
  <si>
    <t>Uriah Lethbrig</t>
  </si>
  <si>
    <t>Val Wakelin</t>
  </si>
  <si>
    <t>Valenka Stansbury</t>
  </si>
  <si>
    <t>Vallie Kundt</t>
  </si>
  <si>
    <t>Vanna Le - Count</t>
  </si>
  <si>
    <t>Vanya Skullet</t>
  </si>
  <si>
    <t>Vasili Upstone</t>
  </si>
  <si>
    <t>Vasily Polglase</t>
  </si>
  <si>
    <t>Verne Dunkerley</t>
  </si>
  <si>
    <t>Vernor Pawsey</t>
  </si>
  <si>
    <t>Vicki Kirdsch</t>
  </si>
  <si>
    <t>Vidovic Antonelli</t>
  </si>
  <si>
    <t>Vinny Shoebotham</t>
  </si>
  <si>
    <t>Violante Skouling</t>
  </si>
  <si>
    <t>Violette Hellmore</t>
  </si>
  <si>
    <t>Virgil Baumadier</t>
  </si>
  <si>
    <t>Vivie Danneil</t>
  </si>
  <si>
    <t>Vivyan Ceely</t>
  </si>
  <si>
    <t>Vivyan Dunning</t>
  </si>
  <si>
    <t>Wain Cholomin</t>
  </si>
  <si>
    <t>Wain Stearley</t>
  </si>
  <si>
    <t>Wallis Bernth</t>
  </si>
  <si>
    <t>Waneta Edinborough</t>
  </si>
  <si>
    <t>Wang Powlesland</t>
  </si>
  <si>
    <t>Warner Maddox</t>
  </si>
  <si>
    <t>Waylan Springall</t>
  </si>
  <si>
    <t>Waylin Hollingdale</t>
  </si>
  <si>
    <t>Webb Speechly</t>
  </si>
  <si>
    <t>Wesley Giorgioni</t>
  </si>
  <si>
    <t>Wilek Lightollers</t>
  </si>
  <si>
    <t>Wiley Leopold</t>
  </si>
  <si>
    <t>Willa Rolling</t>
  </si>
  <si>
    <t>Willabella Abramski</t>
  </si>
  <si>
    <t>Willabella Harvison</t>
  </si>
  <si>
    <t>Willey Romao</t>
  </si>
  <si>
    <t>Willy Pummery</t>
  </si>
  <si>
    <t>Wilton Cottier</t>
  </si>
  <si>
    <t>Wilton Jallin</t>
  </si>
  <si>
    <t>Winn Keyse</t>
  </si>
  <si>
    <t>Winne Roche</t>
  </si>
  <si>
    <t>Witty Ranson</t>
  </si>
  <si>
    <t>Wren Place</t>
  </si>
  <si>
    <t>Wright Caldero</t>
  </si>
  <si>
    <t>Wyatan Fetherston</t>
  </si>
  <si>
    <t>Xenos Gibbons</t>
  </si>
  <si>
    <t>Yardley Basill</t>
  </si>
  <si>
    <t>Yulma Dombrell</t>
  </si>
  <si>
    <t>Yuma Skipsey</t>
  </si>
  <si>
    <t>Yuri Burrells</t>
  </si>
  <si>
    <t>Zaccaria Sherewood</t>
  </si>
  <si>
    <t>Zachariah Carlson</t>
  </si>
  <si>
    <t>Zacharias Kiffe</t>
  </si>
  <si>
    <t>Zachary Tramel</t>
  </si>
  <si>
    <t>Zack Pellett</t>
  </si>
  <si>
    <t>Zeke Walisiak</t>
  </si>
  <si>
    <t>Zilvia Claisse</t>
  </si>
  <si>
    <t>Zorina Ponting</t>
  </si>
  <si>
    <t>TOP 5 Customer</t>
  </si>
  <si>
    <t>Sales</t>
  </si>
  <si>
    <t>Other</t>
  </si>
  <si>
    <t>percentage</t>
  </si>
  <si>
    <t>total other</t>
  </si>
  <si>
    <t>D</t>
  </si>
  <si>
    <t>L</t>
  </si>
  <si>
    <t>M</t>
  </si>
  <si>
    <t>Coffee Type</t>
  </si>
  <si>
    <t>Total Sales</t>
  </si>
  <si>
    <t>Roast Type</t>
  </si>
  <si>
    <t>Total Sales Sales</t>
  </si>
  <si>
    <t>Country</t>
  </si>
  <si>
    <t>Customer Name</t>
  </si>
  <si>
    <t>Sum of Profit</t>
  </si>
  <si>
    <t>COGS</t>
  </si>
  <si>
    <t>Total Profit</t>
  </si>
  <si>
    <t>Cost of Good Sold</t>
  </si>
  <si>
    <t>Cofee Type</t>
  </si>
  <si>
    <t>COFFEE SHOP SALES REPORT</t>
  </si>
  <si>
    <t>Count of Coffee Type</t>
  </si>
  <si>
    <t>Coffee Sold by Country</t>
  </si>
  <si>
    <t>total Top 5 Customer</t>
  </si>
  <si>
    <t>Number of Coffe Sold by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</si>
</sst>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
    <xf numFmtId="0" fontId="0" fillId="0" borderId="0" xfId="0"/>
    <xf numFmtId="0" fontId="0" fillId="0" borderId="0" xfId="0" applyNumberFormat="1"/>
    <xf numFmtId="0" fontId="0" fillId="0" borderId="0" xfId="0" pivotButton="1"/>
    <xf numFmtId="0" fontId="0" fillId="0" borderId="0" xfId="0" applyAlignment="1">
      <alignment horizontal="left"/>
    </xf>
    <xf numFmtId="43" fontId="0" fillId="0" borderId="0" xfId="0" applyNumberFormat="1"/>
    <xf numFmtId="43" fontId="0" fillId="0" borderId="0" xfId="1" applyFont="1"/>
    <xf numFmtId="10" fontId="0" fillId="0" borderId="0" xfId="2" applyNumberFormat="1" applyFont="1"/>
    <xf numFmtId="0" fontId="0" fillId="0" borderId="0" xfId="0" applyAlignment="1">
      <alignment horizontal="center"/>
    </xf>
  </cellXfs>
  <cellStyles count="3">
    <cellStyle name="Comma" xfId="1" builtinId="3"/>
    <cellStyle name="Normal" xfId="0" builtinId="0"/>
    <cellStyle name="Percent" xfId="2" builtinId="5"/>
  </cellStyles>
  <dxfs count="10">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pivotCacheDefinition" Target="pivotCache/pivotCacheDefinition2.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7.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5.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Order rev.xlsm]Analysis!PivotTable2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Cofee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Analysis!$C$3</c:f>
              <c:strCache>
                <c:ptCount val="1"/>
                <c:pt idx="0">
                  <c:v>Total</c:v>
                </c:pt>
              </c:strCache>
            </c:strRef>
          </c:tx>
          <c:spPr>
            <a:solidFill>
              <a:schemeClr val="accent6">
                <a:lumMod val="75000"/>
              </a:schemeClr>
            </a:solidFill>
            <a:ln>
              <a:noFill/>
            </a:ln>
            <a:effectLst/>
          </c:spPr>
          <c:invertIfNegative val="0"/>
          <c:cat>
            <c:strRef>
              <c:f>Analysis!$B$4:$B$8</c:f>
              <c:strCache>
                <c:ptCount val="4"/>
                <c:pt idx="0">
                  <c:v>Ara</c:v>
                </c:pt>
                <c:pt idx="1">
                  <c:v>Exc</c:v>
                </c:pt>
                <c:pt idx="2">
                  <c:v>Lib</c:v>
                </c:pt>
                <c:pt idx="3">
                  <c:v>Rob</c:v>
                </c:pt>
              </c:strCache>
            </c:strRef>
          </c:cat>
          <c:val>
            <c:numRef>
              <c:f>Analysis!$C$4:$C$8</c:f>
              <c:numCache>
                <c:formatCode>_(* #,##0.00_);_(* \(#,##0.00\);_(* "-"??_);_(@_)</c:formatCode>
                <c:ptCount val="4"/>
                <c:pt idx="0">
                  <c:v>11768.495000000001</c:v>
                </c:pt>
                <c:pt idx="1">
                  <c:v>12306.439999999999</c:v>
                </c:pt>
                <c:pt idx="2">
                  <c:v>12054.075000000001</c:v>
                </c:pt>
                <c:pt idx="3">
                  <c:v>9005.2450000000008</c:v>
                </c:pt>
              </c:numCache>
            </c:numRef>
          </c:val>
          <c:extLst>
            <c:ext xmlns:c16="http://schemas.microsoft.com/office/drawing/2014/chart" uri="{C3380CC4-5D6E-409C-BE32-E72D297353CC}">
              <c16:uniqueId val="{00000000-75C1-4C47-822A-DC7BE68DF71D}"/>
            </c:ext>
          </c:extLst>
        </c:ser>
        <c:dLbls>
          <c:showLegendKey val="0"/>
          <c:showVal val="0"/>
          <c:showCatName val="0"/>
          <c:showSerName val="0"/>
          <c:showPercent val="0"/>
          <c:showBubbleSize val="0"/>
        </c:dLbls>
        <c:gapWidth val="58"/>
        <c:overlap val="-27"/>
        <c:axId val="1817221663"/>
        <c:axId val="1817223327"/>
      </c:barChart>
      <c:catAx>
        <c:axId val="181722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223327"/>
        <c:crosses val="autoZero"/>
        <c:auto val="1"/>
        <c:lblAlgn val="ctr"/>
        <c:lblOffset val="100"/>
        <c:noMultiLvlLbl val="0"/>
      </c:catAx>
      <c:valAx>
        <c:axId val="1817223327"/>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221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Order rev.xlsm]Analysis!PivotTable9</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65069991251094"/>
          <c:y val="8.7962962962962965E-2"/>
          <c:w val="0.76183325170478089"/>
          <c:h val="0.72130431612715074"/>
        </c:manualLayout>
      </c:layout>
      <c:barChart>
        <c:barDir val="col"/>
        <c:grouping val="clustered"/>
        <c:varyColors val="0"/>
        <c:ser>
          <c:idx val="0"/>
          <c:order val="0"/>
          <c:tx>
            <c:strRef>
              <c:f>Analysis!$C$27</c:f>
              <c:strCache>
                <c:ptCount val="1"/>
                <c:pt idx="0">
                  <c:v>Sum of Sales</c:v>
                </c:pt>
              </c:strCache>
            </c:strRef>
          </c:tx>
          <c:spPr>
            <a:solidFill>
              <a:schemeClr val="accent6">
                <a:lumMod val="75000"/>
              </a:schemeClr>
            </a:solidFill>
            <a:ln>
              <a:noFill/>
            </a:ln>
            <a:effectLst/>
          </c:spPr>
          <c:invertIfNegative val="0"/>
          <c:cat>
            <c:strRef>
              <c:f>Analysis!$B$28:$B$32</c:f>
              <c:strCache>
                <c:ptCount val="4"/>
                <c:pt idx="0">
                  <c:v>Ara</c:v>
                </c:pt>
                <c:pt idx="1">
                  <c:v>Exc</c:v>
                </c:pt>
                <c:pt idx="2">
                  <c:v>Lib</c:v>
                </c:pt>
                <c:pt idx="3">
                  <c:v>Rob</c:v>
                </c:pt>
              </c:strCache>
            </c:strRef>
          </c:cat>
          <c:val>
            <c:numRef>
              <c:f>Analysis!$C$28:$C$32</c:f>
              <c:numCache>
                <c:formatCode>_(* #,##0.00_);_(* \(#,##0.00\);_(* "-"??_);_(@_)</c:formatCode>
                <c:ptCount val="4"/>
                <c:pt idx="0">
                  <c:v>11768.495000000001</c:v>
                </c:pt>
                <c:pt idx="1">
                  <c:v>12306.439999999999</c:v>
                </c:pt>
                <c:pt idx="2">
                  <c:v>12054.075000000001</c:v>
                </c:pt>
                <c:pt idx="3">
                  <c:v>9005.2450000000008</c:v>
                </c:pt>
              </c:numCache>
            </c:numRef>
          </c:val>
          <c:extLst>
            <c:ext xmlns:c16="http://schemas.microsoft.com/office/drawing/2014/chart" uri="{C3380CC4-5D6E-409C-BE32-E72D297353CC}">
              <c16:uniqueId val="{00000000-FE4D-4982-9052-884BBD255461}"/>
            </c:ext>
          </c:extLst>
        </c:ser>
        <c:ser>
          <c:idx val="1"/>
          <c:order val="1"/>
          <c:tx>
            <c:strRef>
              <c:f>Analysis!$D$27</c:f>
              <c:strCache>
                <c:ptCount val="1"/>
                <c:pt idx="0">
                  <c:v>Sum of Profit</c:v>
                </c:pt>
              </c:strCache>
            </c:strRef>
          </c:tx>
          <c:spPr>
            <a:solidFill>
              <a:schemeClr val="accent6">
                <a:lumMod val="60000"/>
                <a:lumOff val="40000"/>
              </a:schemeClr>
            </a:solidFill>
            <a:ln>
              <a:noFill/>
            </a:ln>
            <a:effectLst/>
          </c:spPr>
          <c:invertIfNegative val="0"/>
          <c:cat>
            <c:strRef>
              <c:f>Analysis!$B$28:$B$32</c:f>
              <c:strCache>
                <c:ptCount val="4"/>
                <c:pt idx="0">
                  <c:v>Ara</c:v>
                </c:pt>
                <c:pt idx="1">
                  <c:v>Exc</c:v>
                </c:pt>
                <c:pt idx="2">
                  <c:v>Lib</c:v>
                </c:pt>
                <c:pt idx="3">
                  <c:v>Rob</c:v>
                </c:pt>
              </c:strCache>
            </c:strRef>
          </c:cat>
          <c:val>
            <c:numRef>
              <c:f>Analysis!$D$28:$D$32</c:f>
              <c:numCache>
                <c:formatCode>_(* #,##0.00_);_(* \(#,##0.00\);_(* "-"??_);_(@_)</c:formatCode>
                <c:ptCount val="4"/>
                <c:pt idx="0">
                  <c:v>291.70394999999974</c:v>
                </c:pt>
                <c:pt idx="1">
                  <c:v>388.15424999999971</c:v>
                </c:pt>
                <c:pt idx="2">
                  <c:v>470.26914999999985</c:v>
                </c:pt>
                <c:pt idx="3">
                  <c:v>151.24770000000012</c:v>
                </c:pt>
              </c:numCache>
            </c:numRef>
          </c:val>
          <c:extLst>
            <c:ext xmlns:c16="http://schemas.microsoft.com/office/drawing/2014/chart" uri="{C3380CC4-5D6E-409C-BE32-E72D297353CC}">
              <c16:uniqueId val="{00000001-FE4D-4982-9052-884BBD255461}"/>
            </c:ext>
          </c:extLst>
        </c:ser>
        <c:ser>
          <c:idx val="2"/>
          <c:order val="2"/>
          <c:tx>
            <c:strRef>
              <c:f>Analysis!$E$27</c:f>
              <c:strCache>
                <c:ptCount val="1"/>
                <c:pt idx="0">
                  <c:v>Cost of Good Sold</c:v>
                </c:pt>
              </c:strCache>
            </c:strRef>
          </c:tx>
          <c:spPr>
            <a:solidFill>
              <a:schemeClr val="accent3"/>
            </a:solidFill>
            <a:ln>
              <a:noFill/>
            </a:ln>
            <a:effectLst/>
          </c:spPr>
          <c:invertIfNegative val="0"/>
          <c:cat>
            <c:strRef>
              <c:f>Analysis!$B$28:$B$32</c:f>
              <c:strCache>
                <c:ptCount val="4"/>
                <c:pt idx="0">
                  <c:v>Ara</c:v>
                </c:pt>
                <c:pt idx="1">
                  <c:v>Exc</c:v>
                </c:pt>
                <c:pt idx="2">
                  <c:v>Lib</c:v>
                </c:pt>
                <c:pt idx="3">
                  <c:v>Rob</c:v>
                </c:pt>
              </c:strCache>
            </c:strRef>
          </c:cat>
          <c:val>
            <c:numRef>
              <c:f>Analysis!$E$28:$E$32</c:f>
              <c:numCache>
                <c:formatCode>_(* #,##0.00_);_(* \(#,##0.00\);_(* "-"??_);_(@_)</c:formatCode>
                <c:ptCount val="4"/>
                <c:pt idx="0">
                  <c:v>11476.79105</c:v>
                </c:pt>
                <c:pt idx="1">
                  <c:v>11918.285750000005</c:v>
                </c:pt>
                <c:pt idx="2">
                  <c:v>11583.805850000008</c:v>
                </c:pt>
                <c:pt idx="3">
                  <c:v>8853.9972999999991</c:v>
                </c:pt>
              </c:numCache>
            </c:numRef>
          </c:val>
          <c:extLst>
            <c:ext xmlns:c16="http://schemas.microsoft.com/office/drawing/2014/chart" uri="{C3380CC4-5D6E-409C-BE32-E72D297353CC}">
              <c16:uniqueId val="{00000002-FE4D-4982-9052-884BBD255461}"/>
            </c:ext>
          </c:extLst>
        </c:ser>
        <c:dLbls>
          <c:showLegendKey val="0"/>
          <c:showVal val="0"/>
          <c:showCatName val="0"/>
          <c:showSerName val="0"/>
          <c:showPercent val="0"/>
          <c:showBubbleSize val="0"/>
        </c:dLbls>
        <c:gapWidth val="49"/>
        <c:overlap val="-27"/>
        <c:axId val="2032329903"/>
        <c:axId val="2032330319"/>
      </c:barChart>
      <c:catAx>
        <c:axId val="2032329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2330319"/>
        <c:crosses val="autoZero"/>
        <c:auto val="1"/>
        <c:lblAlgn val="ctr"/>
        <c:lblOffset val="100"/>
        <c:noMultiLvlLbl val="0"/>
      </c:catAx>
      <c:valAx>
        <c:axId val="203233031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2329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Order rev.xlsm]Analysis!PivotTable10</c:name>
    <c:fmtId val="2"/>
  </c:pivotSource>
  <c:chart>
    <c:title>
      <c:tx>
        <c:strRef>
          <c:f>Analysis!$M$9</c:f>
          <c:strCache>
            <c:ptCount val="1"/>
            <c:pt idx="0">
              <c:v>Number of Coffe Sold by Country</c:v>
            </c:pt>
          </c:strCache>
        </c:strRef>
      </c:tx>
      <c:layout>
        <c:manualLayout>
          <c:xMode val="edge"/>
          <c:yMode val="edge"/>
          <c:x val="0.22331163150060787"/>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lumMod val="60000"/>
              <a:lumOff val="40000"/>
            </a:schemeClr>
          </a:solidFill>
          <a:ln w="19050">
            <a:solidFill>
              <a:schemeClr val="lt1"/>
            </a:solidFill>
          </a:ln>
          <a:effectLst/>
        </c:spPr>
      </c:pivotFmt>
      <c:pivotFmt>
        <c:idx val="7"/>
        <c:spPr>
          <a:solidFill>
            <a:schemeClr val="accent4">
              <a:lumMod val="60000"/>
              <a:lumOff val="40000"/>
            </a:schemeClr>
          </a:solidFill>
          <a:ln w="19050">
            <a:solidFill>
              <a:schemeClr val="lt1"/>
            </a:solidFill>
          </a:ln>
          <a:effectLst/>
        </c:spPr>
      </c:pivotFmt>
      <c:pivotFmt>
        <c:idx val="8"/>
        <c:spPr>
          <a:solidFill>
            <a:schemeClr val="accent6">
              <a:lumMod val="50000"/>
            </a:schemeClr>
          </a:solidFill>
          <a:ln w="19050">
            <a:solidFill>
              <a:schemeClr val="lt1"/>
            </a:solidFill>
          </a:ln>
          <a:effectLst/>
        </c:spPr>
      </c:pivotFmt>
    </c:pivotFmts>
    <c:plotArea>
      <c:layout/>
      <c:pieChart>
        <c:varyColors val="1"/>
        <c:ser>
          <c:idx val="0"/>
          <c:order val="0"/>
          <c:tx>
            <c:strRef>
              <c:f>Analysis!$M$9</c:f>
              <c:strCache>
                <c:ptCount val="1"/>
                <c:pt idx="0">
                  <c:v>Total</c:v>
                </c:pt>
              </c:strCache>
            </c:strRef>
          </c:tx>
          <c:spPr>
            <a:ln w="19050"/>
          </c:spPr>
          <c:dPt>
            <c:idx val="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1-340F-417E-8F38-0F36C59ADA61}"/>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3-340F-417E-8F38-0F36C59ADA61}"/>
              </c:ext>
            </c:extLst>
          </c:dPt>
          <c:dPt>
            <c:idx val="2"/>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5-340F-417E-8F38-0F36C59ADA61}"/>
              </c:ext>
            </c:extLst>
          </c:dPt>
          <c:cat>
            <c:strRef>
              <c:f>Analysis!$M$9</c:f>
              <c:strCache>
                <c:ptCount val="3"/>
                <c:pt idx="0">
                  <c:v>Ireland</c:v>
                </c:pt>
                <c:pt idx="1">
                  <c:v>United Kingdom</c:v>
                </c:pt>
                <c:pt idx="2">
                  <c:v>United States</c:v>
                </c:pt>
              </c:strCache>
            </c:strRef>
          </c:cat>
          <c:val>
            <c:numRef>
              <c:f>Analysis!$M$9</c:f>
              <c:numCache>
                <c:formatCode>_(* #,##0.00_);_(* \(#,##0.00\);_(* "-"??_);_(@_)</c:formatCode>
                <c:ptCount val="3"/>
                <c:pt idx="0">
                  <c:v>153</c:v>
                </c:pt>
                <c:pt idx="1">
                  <c:v>73</c:v>
                </c:pt>
                <c:pt idx="2">
                  <c:v>774</c:v>
                </c:pt>
              </c:numCache>
            </c:numRef>
          </c:val>
          <c:extLst>
            <c:ext xmlns:c16="http://schemas.microsoft.com/office/drawing/2014/chart" uri="{C3380CC4-5D6E-409C-BE32-E72D297353CC}">
              <c16:uniqueId val="{00000006-340F-417E-8F38-0F36C59ADA61}"/>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3251320857620066"/>
          <c:y val="0.86631889763779524"/>
          <c:w val="0.7522893729192941"/>
          <c:h val="0.1059033245844269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295273</xdr:colOff>
      <xdr:row>8</xdr:row>
      <xdr:rowOff>47625</xdr:rowOff>
    </xdr:from>
    <xdr:to>
      <xdr:col>22</xdr:col>
      <xdr:colOff>123824</xdr:colOff>
      <xdr:row>23</xdr:row>
      <xdr:rowOff>142874</xdr:rowOff>
    </xdr:to>
    <xdr:sp macro="" textlink="">
      <xdr:nvSpPr>
        <xdr:cNvPr id="26" name="Rectangle 25">
          <a:extLst>
            <a:ext uri="{FF2B5EF4-FFF2-40B4-BE49-F238E27FC236}">
              <a16:creationId xmlns:a16="http://schemas.microsoft.com/office/drawing/2014/main" id="{8DF40211-1FBA-4D74-B368-B8B7DD73466E}"/>
            </a:ext>
          </a:extLst>
        </xdr:cNvPr>
        <xdr:cNvSpPr/>
      </xdr:nvSpPr>
      <xdr:spPr>
        <a:xfrm>
          <a:off x="8924923" y="1571625"/>
          <a:ext cx="4705351" cy="2952749"/>
        </a:xfrm>
        <a:prstGeom prst="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7</xdr:col>
      <xdr:colOff>85724</xdr:colOff>
      <xdr:row>3</xdr:row>
      <xdr:rowOff>38101</xdr:rowOff>
    </xdr:from>
    <xdr:to>
      <xdr:col>14</xdr:col>
      <xdr:colOff>28575</xdr:colOff>
      <xdr:row>7</xdr:row>
      <xdr:rowOff>133351</xdr:rowOff>
    </xdr:to>
    <xdr:sp macro="" textlink="">
      <xdr:nvSpPr>
        <xdr:cNvPr id="15" name="Rectangle 14">
          <a:extLst>
            <a:ext uri="{FF2B5EF4-FFF2-40B4-BE49-F238E27FC236}">
              <a16:creationId xmlns:a16="http://schemas.microsoft.com/office/drawing/2014/main" id="{670B7584-698A-4D3A-89BB-CF53163623E2}"/>
            </a:ext>
          </a:extLst>
        </xdr:cNvPr>
        <xdr:cNvSpPr/>
      </xdr:nvSpPr>
      <xdr:spPr>
        <a:xfrm>
          <a:off x="4448174" y="419101"/>
          <a:ext cx="4210051" cy="857250"/>
        </a:xfrm>
        <a:prstGeom prst="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7</xdr:col>
      <xdr:colOff>76199</xdr:colOff>
      <xdr:row>8</xdr:row>
      <xdr:rowOff>66675</xdr:rowOff>
    </xdr:from>
    <xdr:to>
      <xdr:col>14</xdr:col>
      <xdr:colOff>9525</xdr:colOff>
      <xdr:row>23</xdr:row>
      <xdr:rowOff>161924</xdr:rowOff>
    </xdr:to>
    <xdr:sp macro="" textlink="">
      <xdr:nvSpPr>
        <xdr:cNvPr id="14" name="Rectangle 13">
          <a:extLst>
            <a:ext uri="{FF2B5EF4-FFF2-40B4-BE49-F238E27FC236}">
              <a16:creationId xmlns:a16="http://schemas.microsoft.com/office/drawing/2014/main" id="{A0F34EB2-B767-4D06-ABEF-1D4C2515DDF0}"/>
            </a:ext>
          </a:extLst>
        </xdr:cNvPr>
        <xdr:cNvSpPr/>
      </xdr:nvSpPr>
      <xdr:spPr>
        <a:xfrm>
          <a:off x="4438649" y="1400175"/>
          <a:ext cx="4200526" cy="2952749"/>
        </a:xfrm>
        <a:prstGeom prst="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523874</xdr:colOff>
      <xdr:row>8</xdr:row>
      <xdr:rowOff>66675</xdr:rowOff>
    </xdr:from>
    <xdr:to>
      <xdr:col>6</xdr:col>
      <xdr:colOff>476249</xdr:colOff>
      <xdr:row>23</xdr:row>
      <xdr:rowOff>161924</xdr:rowOff>
    </xdr:to>
    <xdr:sp macro="" textlink="">
      <xdr:nvSpPr>
        <xdr:cNvPr id="13" name="Rectangle 12">
          <a:extLst>
            <a:ext uri="{FF2B5EF4-FFF2-40B4-BE49-F238E27FC236}">
              <a16:creationId xmlns:a16="http://schemas.microsoft.com/office/drawing/2014/main" id="{9D3C2D0F-694E-4960-8CC1-4B8383424E29}"/>
            </a:ext>
          </a:extLst>
        </xdr:cNvPr>
        <xdr:cNvSpPr/>
      </xdr:nvSpPr>
      <xdr:spPr>
        <a:xfrm>
          <a:off x="523874" y="1400175"/>
          <a:ext cx="3705225" cy="2952749"/>
        </a:xfrm>
        <a:prstGeom prst="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xdr:col>
      <xdr:colOff>0</xdr:colOff>
      <xdr:row>9</xdr:row>
      <xdr:rowOff>0</xdr:rowOff>
    </xdr:from>
    <xdr:to>
      <xdr:col>6</xdr:col>
      <xdr:colOff>409575</xdr:colOff>
      <xdr:row>23</xdr:row>
      <xdr:rowOff>76200</xdr:rowOff>
    </xdr:to>
    <xdr:graphicFrame macro="">
      <xdr:nvGraphicFramePr>
        <xdr:cNvPr id="2" name="Chart 1">
          <a:extLst>
            <a:ext uri="{FF2B5EF4-FFF2-40B4-BE49-F238E27FC236}">
              <a16:creationId xmlns:a16="http://schemas.microsoft.com/office/drawing/2014/main" id="{F558A671-2DA4-4404-A1B5-87A3DF5D02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514349</xdr:colOff>
      <xdr:row>3</xdr:row>
      <xdr:rowOff>19051</xdr:rowOff>
    </xdr:from>
    <xdr:to>
      <xdr:col>6</xdr:col>
      <xdr:colOff>485774</xdr:colOff>
      <xdr:row>7</xdr:row>
      <xdr:rowOff>114301</xdr:rowOff>
    </xdr:to>
    <xdr:sp macro="" textlink="">
      <xdr:nvSpPr>
        <xdr:cNvPr id="3" name="Rectangle 2">
          <a:extLst>
            <a:ext uri="{FF2B5EF4-FFF2-40B4-BE49-F238E27FC236}">
              <a16:creationId xmlns:a16="http://schemas.microsoft.com/office/drawing/2014/main" id="{742E2F5C-90D2-414D-8E3A-A94B3D0A8BD4}"/>
            </a:ext>
          </a:extLst>
        </xdr:cNvPr>
        <xdr:cNvSpPr/>
      </xdr:nvSpPr>
      <xdr:spPr>
        <a:xfrm>
          <a:off x="514349" y="590551"/>
          <a:ext cx="3724275" cy="857250"/>
        </a:xfrm>
        <a:prstGeom prst="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xdr:col>
      <xdr:colOff>114300</xdr:colOff>
      <xdr:row>5</xdr:row>
      <xdr:rowOff>95250</xdr:rowOff>
    </xdr:from>
    <xdr:to>
      <xdr:col>3</xdr:col>
      <xdr:colOff>19049</xdr:colOff>
      <xdr:row>7</xdr:row>
      <xdr:rowOff>9525</xdr:rowOff>
    </xdr:to>
    <xdr:sp macro="" textlink="Analysis!Z4">
      <xdr:nvSpPr>
        <xdr:cNvPr id="5" name="Rectangle 4">
          <a:extLst>
            <a:ext uri="{FF2B5EF4-FFF2-40B4-BE49-F238E27FC236}">
              <a16:creationId xmlns:a16="http://schemas.microsoft.com/office/drawing/2014/main" id="{A1AEBD14-7F5F-4E78-BD60-1B7EBEEE6293}"/>
            </a:ext>
          </a:extLst>
        </xdr:cNvPr>
        <xdr:cNvSpPr/>
      </xdr:nvSpPr>
      <xdr:spPr>
        <a:xfrm>
          <a:off x="723900" y="85725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4132633-FFD0-4F4D-9C4A-FBBC011DA95C}" type="TxLink">
            <a:rPr lang="en-US" sz="1400" b="0" i="0" u="none" strike="noStrike">
              <a:solidFill>
                <a:schemeClr val="tx1"/>
              </a:solidFill>
              <a:latin typeface="Calibri"/>
              <a:ea typeface="Calibri"/>
              <a:cs typeface="Calibri"/>
            </a:rPr>
            <a:pPr algn="ctr"/>
            <a:t> 45.134,26 </a:t>
          </a:fld>
          <a:endParaRPr lang="en-ID" sz="1400">
            <a:solidFill>
              <a:schemeClr val="tx1"/>
            </a:solidFill>
          </a:endParaRPr>
        </a:p>
      </xdr:txBody>
    </xdr:sp>
    <xdr:clientData/>
  </xdr:twoCellAnchor>
  <xdr:twoCellAnchor>
    <xdr:from>
      <xdr:col>3</xdr:col>
      <xdr:colOff>47625</xdr:colOff>
      <xdr:row>5</xdr:row>
      <xdr:rowOff>95250</xdr:rowOff>
    </xdr:from>
    <xdr:to>
      <xdr:col>4</xdr:col>
      <xdr:colOff>466724</xdr:colOff>
      <xdr:row>7</xdr:row>
      <xdr:rowOff>9525</xdr:rowOff>
    </xdr:to>
    <xdr:sp macro="" textlink="Analysis!AA4">
      <xdr:nvSpPr>
        <xdr:cNvPr id="6" name="Rectangle 5">
          <a:extLst>
            <a:ext uri="{FF2B5EF4-FFF2-40B4-BE49-F238E27FC236}">
              <a16:creationId xmlns:a16="http://schemas.microsoft.com/office/drawing/2014/main" id="{5C426D5F-E9F5-493B-9EFB-2C8157BD4321}"/>
            </a:ext>
          </a:extLst>
        </xdr:cNvPr>
        <xdr:cNvSpPr/>
      </xdr:nvSpPr>
      <xdr:spPr>
        <a:xfrm>
          <a:off x="1876425" y="85725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4757E739-B51C-40E4-A99B-2540E5360A78}" type="TxLink">
            <a:rPr lang="en-US" sz="1400" b="0" i="0" u="none" strike="noStrike">
              <a:solidFill>
                <a:srgbClr val="000000"/>
              </a:solidFill>
              <a:latin typeface="Calibri"/>
              <a:ea typeface="Calibri"/>
              <a:cs typeface="Calibri"/>
            </a:rPr>
            <a:pPr algn="ctr"/>
            <a:t> 1.301,38 </a:t>
          </a:fld>
          <a:endParaRPr lang="en-ID" sz="1800">
            <a:solidFill>
              <a:schemeClr val="tx1"/>
            </a:solidFill>
          </a:endParaRPr>
        </a:p>
      </xdr:txBody>
    </xdr:sp>
    <xdr:clientData/>
  </xdr:twoCellAnchor>
  <xdr:twoCellAnchor>
    <xdr:from>
      <xdr:col>4</xdr:col>
      <xdr:colOff>495300</xdr:colOff>
      <xdr:row>5</xdr:row>
      <xdr:rowOff>95250</xdr:rowOff>
    </xdr:from>
    <xdr:to>
      <xdr:col>6</xdr:col>
      <xdr:colOff>400049</xdr:colOff>
      <xdr:row>7</xdr:row>
      <xdr:rowOff>9525</xdr:rowOff>
    </xdr:to>
    <xdr:sp macro="" textlink="Analysis!AB4">
      <xdr:nvSpPr>
        <xdr:cNvPr id="7" name="Rectangle 6">
          <a:extLst>
            <a:ext uri="{FF2B5EF4-FFF2-40B4-BE49-F238E27FC236}">
              <a16:creationId xmlns:a16="http://schemas.microsoft.com/office/drawing/2014/main" id="{A1FD665A-7F23-4B1C-BC50-E51687CF5A5F}"/>
            </a:ext>
          </a:extLst>
        </xdr:cNvPr>
        <xdr:cNvSpPr/>
      </xdr:nvSpPr>
      <xdr:spPr>
        <a:xfrm>
          <a:off x="3028950" y="85725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554D2ED-45FF-41DD-B1BA-16B65FA14E5C}" type="TxLink">
            <a:rPr lang="en-US" sz="1400" b="0" i="0" u="none" strike="noStrike">
              <a:solidFill>
                <a:srgbClr val="000000"/>
              </a:solidFill>
              <a:latin typeface="Calibri"/>
              <a:ea typeface="Calibri"/>
              <a:cs typeface="Calibri"/>
            </a:rPr>
            <a:pPr algn="ctr"/>
            <a:t> 43.832,88 </a:t>
          </a:fld>
          <a:endParaRPr lang="en-ID" sz="1800">
            <a:solidFill>
              <a:schemeClr val="tx1"/>
            </a:solidFill>
          </a:endParaRPr>
        </a:p>
      </xdr:txBody>
    </xdr:sp>
    <xdr:clientData/>
  </xdr:twoCellAnchor>
  <xdr:twoCellAnchor>
    <xdr:from>
      <xdr:col>1</xdr:col>
      <xdr:colOff>133350</xdr:colOff>
      <xdr:row>3</xdr:row>
      <xdr:rowOff>133350</xdr:rowOff>
    </xdr:from>
    <xdr:to>
      <xdr:col>3</xdr:col>
      <xdr:colOff>38099</xdr:colOff>
      <xdr:row>5</xdr:row>
      <xdr:rowOff>47625</xdr:rowOff>
    </xdr:to>
    <xdr:sp macro="" textlink="Analysis!Z3">
      <xdr:nvSpPr>
        <xdr:cNvPr id="8" name="Rectangle 7">
          <a:extLst>
            <a:ext uri="{FF2B5EF4-FFF2-40B4-BE49-F238E27FC236}">
              <a16:creationId xmlns:a16="http://schemas.microsoft.com/office/drawing/2014/main" id="{6422E1C0-A990-4757-8E33-A0041717AE4A}"/>
            </a:ext>
          </a:extLst>
        </xdr:cNvPr>
        <xdr:cNvSpPr/>
      </xdr:nvSpPr>
      <xdr:spPr>
        <a:xfrm>
          <a:off x="742950" y="51435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B440646-4960-4490-A0F7-720F1F6BD7A8}" type="TxLink">
            <a:rPr lang="en-US" sz="1400" b="0" i="0" u="none" strike="noStrike">
              <a:solidFill>
                <a:srgbClr val="000000"/>
              </a:solidFill>
              <a:latin typeface="Calibri"/>
              <a:ea typeface="Calibri"/>
              <a:cs typeface="Calibri"/>
            </a:rPr>
            <a:pPr algn="ctr"/>
            <a:t>Total Sales</a:t>
          </a:fld>
          <a:endParaRPr lang="en-ID" sz="1800">
            <a:solidFill>
              <a:schemeClr val="tx1"/>
            </a:solidFill>
          </a:endParaRPr>
        </a:p>
      </xdr:txBody>
    </xdr:sp>
    <xdr:clientData/>
  </xdr:twoCellAnchor>
  <xdr:twoCellAnchor>
    <xdr:from>
      <xdr:col>3</xdr:col>
      <xdr:colOff>61912</xdr:colOff>
      <xdr:row>3</xdr:row>
      <xdr:rowOff>133350</xdr:rowOff>
    </xdr:from>
    <xdr:to>
      <xdr:col>4</xdr:col>
      <xdr:colOff>481011</xdr:colOff>
      <xdr:row>5</xdr:row>
      <xdr:rowOff>47625</xdr:rowOff>
    </xdr:to>
    <xdr:sp macro="" textlink="Analysis!AA3">
      <xdr:nvSpPr>
        <xdr:cNvPr id="9" name="Rectangle 8">
          <a:extLst>
            <a:ext uri="{FF2B5EF4-FFF2-40B4-BE49-F238E27FC236}">
              <a16:creationId xmlns:a16="http://schemas.microsoft.com/office/drawing/2014/main" id="{00683225-6ED3-43B4-AD73-3DBCB805DA7E}"/>
            </a:ext>
          </a:extLst>
        </xdr:cNvPr>
        <xdr:cNvSpPr/>
      </xdr:nvSpPr>
      <xdr:spPr>
        <a:xfrm>
          <a:off x="1890712" y="51435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3F0415A-0319-4740-9FD1-D33D3A54A856}" type="TxLink">
            <a:rPr lang="en-US" sz="1400" b="0" i="0" u="none" strike="noStrike">
              <a:solidFill>
                <a:srgbClr val="000000"/>
              </a:solidFill>
              <a:latin typeface="Calibri"/>
              <a:ea typeface="Calibri"/>
              <a:cs typeface="Calibri"/>
            </a:rPr>
            <a:pPr algn="ctr"/>
            <a:t>Total Profit</a:t>
          </a:fld>
          <a:endParaRPr lang="en-ID" sz="2400">
            <a:solidFill>
              <a:schemeClr val="tx1"/>
            </a:solidFill>
          </a:endParaRPr>
        </a:p>
      </xdr:txBody>
    </xdr:sp>
    <xdr:clientData/>
  </xdr:twoCellAnchor>
  <xdr:twoCellAnchor>
    <xdr:from>
      <xdr:col>4</xdr:col>
      <xdr:colOff>504825</xdr:colOff>
      <xdr:row>3</xdr:row>
      <xdr:rowOff>133350</xdr:rowOff>
    </xdr:from>
    <xdr:to>
      <xdr:col>6</xdr:col>
      <xdr:colOff>409574</xdr:colOff>
      <xdr:row>5</xdr:row>
      <xdr:rowOff>47625</xdr:rowOff>
    </xdr:to>
    <xdr:sp macro="" textlink="Analysis!AB3">
      <xdr:nvSpPr>
        <xdr:cNvPr id="10" name="Rectangle 9">
          <a:extLst>
            <a:ext uri="{FF2B5EF4-FFF2-40B4-BE49-F238E27FC236}">
              <a16:creationId xmlns:a16="http://schemas.microsoft.com/office/drawing/2014/main" id="{D50D4FBD-6055-4C7A-A8D8-1101B6B1B32A}"/>
            </a:ext>
          </a:extLst>
        </xdr:cNvPr>
        <xdr:cNvSpPr/>
      </xdr:nvSpPr>
      <xdr:spPr>
        <a:xfrm>
          <a:off x="3038475" y="70485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ED0423D-549A-4E9E-9007-2F345F51D4AB}" type="TxLink">
            <a:rPr lang="en-US" sz="1400" b="0" i="0" u="none" strike="noStrike">
              <a:solidFill>
                <a:srgbClr val="000000"/>
              </a:solidFill>
              <a:latin typeface="Calibri"/>
              <a:ea typeface="Calibri"/>
              <a:cs typeface="Calibri"/>
            </a:rPr>
            <a:pPr algn="ctr"/>
            <a:t>COGS</a:t>
          </a:fld>
          <a:endParaRPr lang="en-ID" sz="2400">
            <a:solidFill>
              <a:schemeClr val="tx1"/>
            </a:solidFill>
          </a:endParaRPr>
        </a:p>
      </xdr:txBody>
    </xdr:sp>
    <xdr:clientData/>
  </xdr:twoCellAnchor>
  <xdr:twoCellAnchor editAs="oneCell">
    <xdr:from>
      <xdr:col>7</xdr:col>
      <xdr:colOff>200025</xdr:colOff>
      <xdr:row>3</xdr:row>
      <xdr:rowOff>76200</xdr:rowOff>
    </xdr:from>
    <xdr:to>
      <xdr:col>13</xdr:col>
      <xdr:colOff>504824</xdr:colOff>
      <xdr:row>7</xdr:row>
      <xdr:rowOff>47626</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F582B234-F47A-4204-A262-EDC9544BAFB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562475" y="647700"/>
              <a:ext cx="3962399" cy="73342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142875</xdr:colOff>
      <xdr:row>9</xdr:row>
      <xdr:rowOff>19050</xdr:rowOff>
    </xdr:from>
    <xdr:to>
      <xdr:col>13</xdr:col>
      <xdr:colOff>466725</xdr:colOff>
      <xdr:row>23</xdr:row>
      <xdr:rowOff>95250</xdr:rowOff>
    </xdr:to>
    <xdr:graphicFrame macro="">
      <xdr:nvGraphicFramePr>
        <xdr:cNvPr id="12" name="Chart 11">
          <a:extLst>
            <a:ext uri="{FF2B5EF4-FFF2-40B4-BE49-F238E27FC236}">
              <a16:creationId xmlns:a16="http://schemas.microsoft.com/office/drawing/2014/main" id="{0F1D2921-B6C6-42B9-A838-5BCCBD96CF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514350</xdr:colOff>
      <xdr:row>0</xdr:row>
      <xdr:rowOff>76201</xdr:rowOff>
    </xdr:from>
    <xdr:to>
      <xdr:col>4</xdr:col>
      <xdr:colOff>523876</xdr:colOff>
      <xdr:row>2</xdr:row>
      <xdr:rowOff>114300</xdr:rowOff>
    </xdr:to>
    <xdr:sp macro="" textlink="">
      <xdr:nvSpPr>
        <xdr:cNvPr id="16" name="Rectangle 15">
          <a:extLst>
            <a:ext uri="{FF2B5EF4-FFF2-40B4-BE49-F238E27FC236}">
              <a16:creationId xmlns:a16="http://schemas.microsoft.com/office/drawing/2014/main" id="{D8F1906C-E3E1-401C-ADAB-2FE390BDA1FE}"/>
            </a:ext>
          </a:extLst>
        </xdr:cNvPr>
        <xdr:cNvSpPr/>
      </xdr:nvSpPr>
      <xdr:spPr>
        <a:xfrm>
          <a:off x="514350" y="76201"/>
          <a:ext cx="2543176" cy="419099"/>
        </a:xfrm>
        <a:prstGeom prst="rect">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581025</xdr:colOff>
      <xdr:row>0</xdr:row>
      <xdr:rowOff>133350</xdr:rowOff>
    </xdr:from>
    <xdr:to>
      <xdr:col>4</xdr:col>
      <xdr:colOff>495300</xdr:colOff>
      <xdr:row>2</xdr:row>
      <xdr:rowOff>47625</xdr:rowOff>
    </xdr:to>
    <xdr:sp macro="" textlink="Analysis!F10">
      <xdr:nvSpPr>
        <xdr:cNvPr id="17" name="Rectangle 16">
          <a:extLst>
            <a:ext uri="{FF2B5EF4-FFF2-40B4-BE49-F238E27FC236}">
              <a16:creationId xmlns:a16="http://schemas.microsoft.com/office/drawing/2014/main" id="{619057E8-ED5E-4633-B8E6-FDB99BBB99A6}"/>
            </a:ext>
          </a:extLst>
        </xdr:cNvPr>
        <xdr:cNvSpPr/>
      </xdr:nvSpPr>
      <xdr:spPr>
        <a:xfrm>
          <a:off x="581025" y="133350"/>
          <a:ext cx="2447925"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6967B97C-B4B4-49B8-8774-8C3CC453DFB2}" type="TxLink">
            <a:rPr lang="en-US" sz="1400" b="1" i="0" u="none" strike="noStrike">
              <a:solidFill>
                <a:schemeClr val="bg1"/>
              </a:solidFill>
              <a:latin typeface="Calibri"/>
              <a:ea typeface="Calibri"/>
              <a:cs typeface="Calibri"/>
            </a:rPr>
            <a:pPr algn="ctr"/>
            <a:t>COFFEE SHOP SALES REPORT</a:t>
          </a:fld>
          <a:endParaRPr lang="en-US" sz="1400" b="1" i="0" u="none" strike="noStrike">
            <a:solidFill>
              <a:schemeClr val="bg1"/>
            </a:solidFill>
            <a:latin typeface="Calibri"/>
            <a:ea typeface="Calibri"/>
            <a:cs typeface="Calibri"/>
          </a:endParaRPr>
        </a:p>
      </xdr:txBody>
    </xdr:sp>
    <xdr:clientData/>
  </xdr:twoCellAnchor>
  <xdr:twoCellAnchor>
    <xdr:from>
      <xdr:col>2</xdr:col>
      <xdr:colOff>95251</xdr:colOff>
      <xdr:row>18</xdr:row>
      <xdr:rowOff>66674</xdr:rowOff>
    </xdr:from>
    <xdr:to>
      <xdr:col>3</xdr:col>
      <xdr:colOff>57151</xdr:colOff>
      <xdr:row>19</xdr:row>
      <xdr:rowOff>128174</xdr:rowOff>
    </xdr:to>
    <xdr:sp macro="" textlink="Analysis!D4">
      <xdr:nvSpPr>
        <xdr:cNvPr id="18" name="Rectangle 17">
          <a:extLst>
            <a:ext uri="{FF2B5EF4-FFF2-40B4-BE49-F238E27FC236}">
              <a16:creationId xmlns:a16="http://schemas.microsoft.com/office/drawing/2014/main" id="{91ADC4DC-7625-43F0-97C8-A95825F63352}"/>
            </a:ext>
          </a:extLst>
        </xdr:cNvPr>
        <xdr:cNvSpPr/>
      </xdr:nvSpPr>
      <xdr:spPr>
        <a:xfrm>
          <a:off x="1314451" y="3495674"/>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CE50B25-7D4C-47D3-8AF6-C2174A5CF036}" type="TxLink">
            <a:rPr lang="en-US" sz="900" b="1" i="0" u="none" strike="noStrike">
              <a:solidFill>
                <a:schemeClr val="bg1"/>
              </a:solidFill>
              <a:latin typeface="Calibri"/>
              <a:ea typeface="Calibri"/>
              <a:cs typeface="Calibri"/>
            </a:rPr>
            <a:pPr algn="ctr"/>
            <a:t>26,07%</a:t>
          </a:fld>
          <a:endParaRPr lang="en-ID" sz="1050" b="1">
            <a:solidFill>
              <a:schemeClr val="bg1"/>
            </a:solidFill>
          </a:endParaRPr>
        </a:p>
      </xdr:txBody>
    </xdr:sp>
    <xdr:clientData/>
  </xdr:twoCellAnchor>
  <xdr:twoCellAnchor>
    <xdr:from>
      <xdr:col>3</xdr:col>
      <xdr:colOff>171451</xdr:colOff>
      <xdr:row>18</xdr:row>
      <xdr:rowOff>66674</xdr:rowOff>
    </xdr:from>
    <xdr:to>
      <xdr:col>4</xdr:col>
      <xdr:colOff>38101</xdr:colOff>
      <xdr:row>19</xdr:row>
      <xdr:rowOff>128174</xdr:rowOff>
    </xdr:to>
    <xdr:sp macro="" textlink="Analysis!D5">
      <xdr:nvSpPr>
        <xdr:cNvPr id="19" name="Rectangle 18">
          <a:extLst>
            <a:ext uri="{FF2B5EF4-FFF2-40B4-BE49-F238E27FC236}">
              <a16:creationId xmlns:a16="http://schemas.microsoft.com/office/drawing/2014/main" id="{DF452B2A-3C0A-4F70-AA4C-653E6E3983DD}"/>
            </a:ext>
          </a:extLst>
        </xdr:cNvPr>
        <xdr:cNvSpPr/>
      </xdr:nvSpPr>
      <xdr:spPr>
        <a:xfrm>
          <a:off x="2000251" y="3495674"/>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CC8F3C2-04BF-426C-B9E0-F55828B97D0A}" type="TxLink">
            <a:rPr lang="en-US" sz="900" b="1" i="0" u="none" strike="noStrike">
              <a:solidFill>
                <a:schemeClr val="bg1"/>
              </a:solidFill>
              <a:latin typeface="Calibri"/>
              <a:ea typeface="Calibri"/>
              <a:cs typeface="Calibri"/>
            </a:rPr>
            <a:pPr marL="0" indent="0" algn="ctr"/>
            <a:t>27,27%</a:t>
          </a:fld>
          <a:endParaRPr lang="en-ID" sz="900" b="1" i="0" u="none" strike="noStrike">
            <a:solidFill>
              <a:schemeClr val="bg1"/>
            </a:solidFill>
            <a:latin typeface="Calibri"/>
            <a:ea typeface="Calibri"/>
            <a:cs typeface="Calibri"/>
          </a:endParaRPr>
        </a:p>
      </xdr:txBody>
    </xdr:sp>
    <xdr:clientData/>
  </xdr:twoCellAnchor>
  <xdr:twoCellAnchor>
    <xdr:from>
      <xdr:col>4</xdr:col>
      <xdr:colOff>171451</xdr:colOff>
      <xdr:row>18</xdr:row>
      <xdr:rowOff>66674</xdr:rowOff>
    </xdr:from>
    <xdr:to>
      <xdr:col>5</xdr:col>
      <xdr:colOff>133351</xdr:colOff>
      <xdr:row>19</xdr:row>
      <xdr:rowOff>128174</xdr:rowOff>
    </xdr:to>
    <xdr:sp macro="" textlink="Analysis!D6">
      <xdr:nvSpPr>
        <xdr:cNvPr id="20" name="Rectangle 19">
          <a:extLst>
            <a:ext uri="{FF2B5EF4-FFF2-40B4-BE49-F238E27FC236}">
              <a16:creationId xmlns:a16="http://schemas.microsoft.com/office/drawing/2014/main" id="{4C6B1D9B-A0D3-422F-8CD5-D7C2FBFD689B}"/>
            </a:ext>
          </a:extLst>
        </xdr:cNvPr>
        <xdr:cNvSpPr/>
      </xdr:nvSpPr>
      <xdr:spPr>
        <a:xfrm>
          <a:off x="2705101" y="3495674"/>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D61994B-A010-46C6-B78F-0FCCBCFA61AF}" type="TxLink">
            <a:rPr lang="en-US" sz="900" b="1" i="0" u="none" strike="noStrike">
              <a:solidFill>
                <a:schemeClr val="bg1"/>
              </a:solidFill>
              <a:latin typeface="Calibri"/>
              <a:ea typeface="Calibri"/>
              <a:cs typeface="Calibri"/>
            </a:rPr>
            <a:pPr marL="0" indent="0" algn="ctr"/>
            <a:t>26,71%</a:t>
          </a:fld>
          <a:endParaRPr lang="en-ID" sz="900" b="1" i="0" u="none" strike="noStrike">
            <a:solidFill>
              <a:schemeClr val="bg1"/>
            </a:solidFill>
            <a:latin typeface="Calibri"/>
            <a:ea typeface="Calibri"/>
            <a:cs typeface="Calibri"/>
          </a:endParaRPr>
        </a:p>
      </xdr:txBody>
    </xdr:sp>
    <xdr:clientData/>
  </xdr:twoCellAnchor>
  <xdr:twoCellAnchor>
    <xdr:from>
      <xdr:col>5</xdr:col>
      <xdr:colOff>238126</xdr:colOff>
      <xdr:row>18</xdr:row>
      <xdr:rowOff>66674</xdr:rowOff>
    </xdr:from>
    <xdr:to>
      <xdr:col>6</xdr:col>
      <xdr:colOff>200026</xdr:colOff>
      <xdr:row>19</xdr:row>
      <xdr:rowOff>128174</xdr:rowOff>
    </xdr:to>
    <xdr:sp macro="" textlink="Analysis!D7">
      <xdr:nvSpPr>
        <xdr:cNvPr id="21" name="Rectangle 20">
          <a:extLst>
            <a:ext uri="{FF2B5EF4-FFF2-40B4-BE49-F238E27FC236}">
              <a16:creationId xmlns:a16="http://schemas.microsoft.com/office/drawing/2014/main" id="{22CCAAAF-2283-49DE-8367-5961B267E2ED}"/>
            </a:ext>
          </a:extLst>
        </xdr:cNvPr>
        <xdr:cNvSpPr/>
      </xdr:nvSpPr>
      <xdr:spPr>
        <a:xfrm>
          <a:off x="3381376" y="3495674"/>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0056C9C6-E0F0-4B05-A11B-3CE3D895163B}" type="TxLink">
            <a:rPr lang="en-US" sz="900" b="1" i="0" u="none" strike="noStrike">
              <a:solidFill>
                <a:schemeClr val="bg1"/>
              </a:solidFill>
              <a:latin typeface="Calibri"/>
              <a:ea typeface="Calibri"/>
              <a:cs typeface="Calibri"/>
            </a:rPr>
            <a:pPr marL="0" indent="0" algn="ctr"/>
            <a:t>19,95%</a:t>
          </a:fld>
          <a:endParaRPr lang="en-ID" sz="900" b="1" i="0" u="none" strike="noStrike">
            <a:solidFill>
              <a:schemeClr val="bg1"/>
            </a:solidFill>
            <a:latin typeface="Calibri"/>
            <a:ea typeface="Calibri"/>
            <a:cs typeface="Calibri"/>
          </a:endParaRPr>
        </a:p>
      </xdr:txBody>
    </xdr:sp>
    <xdr:clientData/>
  </xdr:twoCellAnchor>
  <xdr:twoCellAnchor>
    <xdr:from>
      <xdr:col>14</xdr:col>
      <xdr:colOff>304799</xdr:colOff>
      <xdr:row>3</xdr:row>
      <xdr:rowOff>47626</xdr:rowOff>
    </xdr:from>
    <xdr:to>
      <xdr:col>22</xdr:col>
      <xdr:colOff>104775</xdr:colOff>
      <xdr:row>7</xdr:row>
      <xdr:rowOff>142876</xdr:rowOff>
    </xdr:to>
    <xdr:sp macro="" textlink="">
      <xdr:nvSpPr>
        <xdr:cNvPr id="22" name="Rectangle 21">
          <a:extLst>
            <a:ext uri="{FF2B5EF4-FFF2-40B4-BE49-F238E27FC236}">
              <a16:creationId xmlns:a16="http://schemas.microsoft.com/office/drawing/2014/main" id="{159E1959-E8CB-4307-A0CC-6A58D8A29ED1}"/>
            </a:ext>
          </a:extLst>
        </xdr:cNvPr>
        <xdr:cNvSpPr/>
      </xdr:nvSpPr>
      <xdr:spPr>
        <a:xfrm>
          <a:off x="8934449" y="619126"/>
          <a:ext cx="4676776" cy="857250"/>
        </a:xfrm>
        <a:prstGeom prst="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17</xdr:col>
      <xdr:colOff>285750</xdr:colOff>
      <xdr:row>5</xdr:row>
      <xdr:rowOff>76200</xdr:rowOff>
    </xdr:from>
    <xdr:to>
      <xdr:col>19</xdr:col>
      <xdr:colOff>190499</xdr:colOff>
      <xdr:row>6</xdr:row>
      <xdr:rowOff>180975</xdr:rowOff>
    </xdr:to>
    <xdr:sp macro="" textlink="Analysis!N7">
      <xdr:nvSpPr>
        <xdr:cNvPr id="23" name="Rectangle 22">
          <a:extLst>
            <a:ext uri="{FF2B5EF4-FFF2-40B4-BE49-F238E27FC236}">
              <a16:creationId xmlns:a16="http://schemas.microsoft.com/office/drawing/2014/main" id="{B3770DB5-6732-4D63-952B-887CA8EDFAB3}"/>
            </a:ext>
          </a:extLst>
        </xdr:cNvPr>
        <xdr:cNvSpPr/>
      </xdr:nvSpPr>
      <xdr:spPr>
        <a:xfrm>
          <a:off x="10744200" y="1028700"/>
          <a:ext cx="1123949" cy="29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2D593C0-8BEE-4B67-BFA0-7D8F1E0079ED}" type="TxLink">
            <a:rPr lang="en-US" sz="1600" b="0" i="0" u="none" strike="noStrike">
              <a:solidFill>
                <a:srgbClr val="000000"/>
              </a:solidFill>
              <a:latin typeface="Calibri"/>
              <a:ea typeface="Calibri"/>
              <a:cs typeface="Calibri"/>
            </a:rPr>
            <a:pPr algn="ctr"/>
            <a:t>1000</a:t>
          </a:fld>
          <a:endParaRPr lang="en-ID" sz="2800">
            <a:solidFill>
              <a:schemeClr val="tx1"/>
            </a:solidFill>
          </a:endParaRPr>
        </a:p>
      </xdr:txBody>
    </xdr:sp>
    <xdr:clientData/>
  </xdr:twoCellAnchor>
  <xdr:twoCellAnchor>
    <xdr:from>
      <xdr:col>16</xdr:col>
      <xdr:colOff>561975</xdr:colOff>
      <xdr:row>3</xdr:row>
      <xdr:rowOff>104775</xdr:rowOff>
    </xdr:from>
    <xdr:to>
      <xdr:col>19</xdr:col>
      <xdr:colOff>561975</xdr:colOff>
      <xdr:row>5</xdr:row>
      <xdr:rowOff>66675</xdr:rowOff>
    </xdr:to>
    <xdr:sp macro="" textlink="Analysis!M9">
      <xdr:nvSpPr>
        <xdr:cNvPr id="24" name="Rectangle 23">
          <a:extLst>
            <a:ext uri="{FF2B5EF4-FFF2-40B4-BE49-F238E27FC236}">
              <a16:creationId xmlns:a16="http://schemas.microsoft.com/office/drawing/2014/main" id="{AAFC3661-204B-4A6F-8B08-03557B6B1947}"/>
            </a:ext>
          </a:extLst>
        </xdr:cNvPr>
        <xdr:cNvSpPr/>
      </xdr:nvSpPr>
      <xdr:spPr>
        <a:xfrm>
          <a:off x="10410825" y="676275"/>
          <a:ext cx="1828800"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E7367E9-BDAC-4192-A440-B7C0A30F4BE6}" type="TxLink">
            <a:rPr lang="en-US" sz="1400" b="0" i="0" u="none" strike="noStrike">
              <a:solidFill>
                <a:srgbClr val="000000"/>
              </a:solidFill>
              <a:latin typeface="Calibri"/>
              <a:ea typeface="Calibri"/>
              <a:cs typeface="Calibri"/>
            </a:rPr>
            <a:pPr algn="ctr"/>
            <a:t>Number of Coffe Sold by Country</a:t>
          </a:fld>
          <a:endParaRPr lang="en-ID" sz="3200">
            <a:solidFill>
              <a:schemeClr val="tx1"/>
            </a:solidFill>
          </a:endParaRPr>
        </a:p>
      </xdr:txBody>
    </xdr:sp>
    <xdr:clientData/>
  </xdr:twoCellAnchor>
  <xdr:twoCellAnchor>
    <xdr:from>
      <xdr:col>14</xdr:col>
      <xdr:colOff>447675</xdr:colOff>
      <xdr:row>8</xdr:row>
      <xdr:rowOff>142875</xdr:rowOff>
    </xdr:from>
    <xdr:to>
      <xdr:col>21</xdr:col>
      <xdr:colOff>581025</xdr:colOff>
      <xdr:row>23</xdr:row>
      <xdr:rowOff>28575</xdr:rowOff>
    </xdr:to>
    <xdr:graphicFrame macro="">
      <xdr:nvGraphicFramePr>
        <xdr:cNvPr id="25" name="Chart 24">
          <a:extLst>
            <a:ext uri="{FF2B5EF4-FFF2-40B4-BE49-F238E27FC236}">
              <a16:creationId xmlns:a16="http://schemas.microsoft.com/office/drawing/2014/main" id="{18DC2070-57B0-4834-9408-8F779AC207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304801</xdr:colOff>
      <xdr:row>17</xdr:row>
      <xdr:rowOff>19049</xdr:rowOff>
    </xdr:from>
    <xdr:to>
      <xdr:col>18</xdr:col>
      <xdr:colOff>266701</xdr:colOff>
      <xdr:row>18</xdr:row>
      <xdr:rowOff>80549</xdr:rowOff>
    </xdr:to>
    <xdr:sp macro="" textlink="Analysis!O6">
      <xdr:nvSpPr>
        <xdr:cNvPr id="27" name="Rectangle 26">
          <a:extLst>
            <a:ext uri="{FF2B5EF4-FFF2-40B4-BE49-F238E27FC236}">
              <a16:creationId xmlns:a16="http://schemas.microsoft.com/office/drawing/2014/main" id="{C255DB79-BC9F-4B24-B8DE-82D7A682E60E}"/>
            </a:ext>
          </a:extLst>
        </xdr:cNvPr>
        <xdr:cNvSpPr/>
      </xdr:nvSpPr>
      <xdr:spPr>
        <a:xfrm>
          <a:off x="10763251" y="3257549"/>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D894901-2AFC-41D8-92B9-761D54030700}" type="TxLink">
            <a:rPr lang="en-US" sz="900" b="1" i="0" u="none" strike="noStrike">
              <a:solidFill>
                <a:schemeClr val="bg1"/>
              </a:solidFill>
              <a:latin typeface="Calibri"/>
              <a:ea typeface="Calibri"/>
              <a:cs typeface="Calibri"/>
            </a:rPr>
            <a:pPr marL="0" indent="0" algn="ctr"/>
            <a:t>77,40%</a:t>
          </a:fld>
          <a:endParaRPr lang="en-ID" sz="900" b="1" i="0" u="none" strike="noStrike">
            <a:solidFill>
              <a:schemeClr val="bg1"/>
            </a:solidFill>
            <a:latin typeface="Calibri"/>
            <a:ea typeface="Calibri"/>
            <a:cs typeface="Calibri"/>
          </a:endParaRPr>
        </a:p>
      </xdr:txBody>
    </xdr:sp>
    <xdr:clientData/>
  </xdr:twoCellAnchor>
  <xdr:twoCellAnchor>
    <xdr:from>
      <xdr:col>18</xdr:col>
      <xdr:colOff>190501</xdr:colOff>
      <xdr:row>12</xdr:row>
      <xdr:rowOff>114299</xdr:rowOff>
    </xdr:from>
    <xdr:to>
      <xdr:col>19</xdr:col>
      <xdr:colOff>152401</xdr:colOff>
      <xdr:row>13</xdr:row>
      <xdr:rowOff>175799</xdr:rowOff>
    </xdr:to>
    <xdr:sp macro="" textlink="Analysis!O4">
      <xdr:nvSpPr>
        <xdr:cNvPr id="28" name="Rectangle 27">
          <a:extLst>
            <a:ext uri="{FF2B5EF4-FFF2-40B4-BE49-F238E27FC236}">
              <a16:creationId xmlns:a16="http://schemas.microsoft.com/office/drawing/2014/main" id="{015D00FB-2B5E-4BE4-8617-CFD1C08F04F3}"/>
            </a:ext>
          </a:extLst>
        </xdr:cNvPr>
        <xdr:cNvSpPr/>
      </xdr:nvSpPr>
      <xdr:spPr>
        <a:xfrm>
          <a:off x="11258551" y="2400299"/>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EC60880-02E3-472F-AAA6-C0BC792128EC}" type="TxLink">
            <a:rPr lang="en-US" sz="900" b="1" i="0" u="none" strike="noStrike">
              <a:solidFill>
                <a:sysClr val="windowText" lastClr="000000"/>
              </a:solidFill>
              <a:latin typeface="Calibri"/>
              <a:ea typeface="Calibri"/>
              <a:cs typeface="Calibri"/>
            </a:rPr>
            <a:pPr marL="0" indent="0" algn="ctr"/>
            <a:t>15,30%</a:t>
          </a:fld>
          <a:endParaRPr lang="en-ID" sz="900" b="1" i="0" u="none" strike="noStrike">
            <a:solidFill>
              <a:sysClr val="windowText" lastClr="000000"/>
            </a:solidFill>
            <a:latin typeface="Calibri"/>
            <a:ea typeface="Calibri"/>
            <a:cs typeface="Calibri"/>
          </a:endParaRPr>
        </a:p>
      </xdr:txBody>
    </xdr:sp>
    <xdr:clientData/>
  </xdr:twoCellAnchor>
  <xdr:twoCellAnchor>
    <xdr:from>
      <xdr:col>19</xdr:col>
      <xdr:colOff>381001</xdr:colOff>
      <xdr:row>13</xdr:row>
      <xdr:rowOff>57149</xdr:rowOff>
    </xdr:from>
    <xdr:to>
      <xdr:col>20</xdr:col>
      <xdr:colOff>342901</xdr:colOff>
      <xdr:row>14</xdr:row>
      <xdr:rowOff>118649</xdr:rowOff>
    </xdr:to>
    <xdr:sp macro="" textlink="Analysis!O5">
      <xdr:nvSpPr>
        <xdr:cNvPr id="29" name="Rectangle 28">
          <a:extLst>
            <a:ext uri="{FF2B5EF4-FFF2-40B4-BE49-F238E27FC236}">
              <a16:creationId xmlns:a16="http://schemas.microsoft.com/office/drawing/2014/main" id="{0C2AD23F-C38A-4C2A-8098-E66D7E28D98C}"/>
            </a:ext>
          </a:extLst>
        </xdr:cNvPr>
        <xdr:cNvSpPr/>
      </xdr:nvSpPr>
      <xdr:spPr>
        <a:xfrm>
          <a:off x="12058651" y="2533649"/>
          <a:ext cx="571500" cy="25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67547FA-C408-4080-807E-271DFF59FFC8}" type="TxLink">
            <a:rPr lang="en-US" sz="900" b="1" i="0" u="none" strike="noStrike">
              <a:solidFill>
                <a:sysClr val="windowText" lastClr="000000"/>
              </a:solidFill>
              <a:latin typeface="Calibri"/>
              <a:ea typeface="Calibri"/>
              <a:cs typeface="Calibri"/>
            </a:rPr>
            <a:pPr marL="0" indent="0" algn="ctr"/>
            <a:t>7,30%</a:t>
          </a:fld>
          <a:endParaRPr lang="en-ID" sz="900" b="1" i="0" u="none" strike="noStrike">
            <a:solidFill>
              <a:sysClr val="windowText" lastClr="000000"/>
            </a:solidFill>
            <a:latin typeface="Calibri"/>
            <a:ea typeface="Calibri"/>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12</xdr:col>
      <xdr:colOff>248535</xdr:colOff>
      <xdr:row>6</xdr:row>
      <xdr:rowOff>85843</xdr:rowOff>
    </xdr:to>
    <xdr:pic>
      <xdr:nvPicPr>
        <xdr:cNvPr id="2" name="Picture 1">
          <a:extLst>
            <a:ext uri="{FF2B5EF4-FFF2-40B4-BE49-F238E27FC236}">
              <a16:creationId xmlns:a16="http://schemas.microsoft.com/office/drawing/2014/main" id="{FC36A7B7-F3C3-407C-A361-3BFAEACF05E3}"/>
            </a:ext>
          </a:extLst>
        </xdr:cNvPr>
        <xdr:cNvPicPr>
          <a:picLocks noChangeAspect="1"/>
        </xdr:cNvPicPr>
      </xdr:nvPicPr>
      <xdr:blipFill>
        <a:blip xmlns:r="http://schemas.openxmlformats.org/officeDocument/2006/relationships" r:embed="rId1"/>
        <a:stretch>
          <a:fillRect/>
        </a:stretch>
      </xdr:blipFill>
      <xdr:spPr>
        <a:xfrm>
          <a:off x="1219200" y="381000"/>
          <a:ext cx="6344535" cy="847843"/>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78009262" backgroundQuery="1" createdVersion="7" refreshedVersion="7" minRefreshableVersion="3" recordCount="0" supportSubquery="1" supportAdvancedDrill="1" xr:uid="{F6930F97-5C87-45A5-B06E-DEB2785C0819}">
  <cacheSource type="external" connectionId="5"/>
  <cacheFields count="3">
    <cacheField name="[Measures].[Sum of Profit]" caption="Sum of Profit" numFmtId="0" hierarchy="38" level="32767"/>
    <cacheField name="[orders].[Coffee Type].[Coffee Type]" caption="Coffee Type" numFmtId="0" hierarchy="18" level="1">
      <sharedItems count="4">
        <s v="Ara"/>
        <s v="Exc"/>
        <s v="Lib"/>
        <s v="Rob"/>
      </sharedItems>
    </cacheField>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2" memberValueDatatype="130" unbalanced="0">
      <fieldsUsage count="2">
        <fieldUsage x="-1"/>
        <fieldUsage x="1"/>
      </fieldsUsage>
    </cacheHierarchy>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78472224" backgroundQuery="1" createdVersion="7" refreshedVersion="7" minRefreshableVersion="3" recordCount="0" supportSubquery="1" supportAdvancedDrill="1" xr:uid="{3DCEC14C-01BA-48EF-8637-78C44EFC08D7}">
  <cacheSource type="external" connectionId="5"/>
  <cacheFields count="3">
    <cacheField name="[Measures].[Sum of Sales]" caption="Sum of Sales" numFmtId="0" hierarchy="37" level="32767"/>
    <cacheField name="[orders].[Coffee Type].[Coffee Type]" caption="Coffee Type" numFmtId="0" hierarchy="18" level="1">
      <sharedItems count="4">
        <s v="Ara"/>
        <s v="Exc"/>
        <s v="Lib"/>
        <s v="Rob"/>
      </sharedItems>
    </cacheField>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2" memberValueDatatype="130" unbalanced="0">
      <fieldsUsage count="2">
        <fieldUsage x="-1"/>
        <fieldUsage x="1"/>
      </fieldsUsage>
    </cacheHierarchy>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78935186" backgroundQuery="1" createdVersion="7" refreshedVersion="7" minRefreshableVersion="3" recordCount="0" supportSubquery="1" supportAdvancedDrill="1" xr:uid="{DFCB8491-7C20-4582-8B76-C46A0A5DFE30}">
  <cacheSource type="external" connectionId="5"/>
  <cacheFields count="3">
    <cacheField name="[orders].[Coffee Type].[Coffee Type]" caption="Coffee Type" numFmtId="0" hierarchy="18" level="1">
      <sharedItems count="4">
        <s v="Ara"/>
        <s v="Exc"/>
        <s v="Lib"/>
        <s v="Rob"/>
      </sharedItems>
    </cacheField>
    <cacheField name="[Measures].[Sum of Cost of Good Sold]" caption="Sum of Cost of Good Sold" numFmtId="0" hierarchy="39" level="32767"/>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2" memberValueDatatype="130" unbalanced="0">
      <fieldsUsage count="2">
        <fieldUsage x="-1"/>
        <fieldUsage x="0"/>
      </fieldsUsage>
    </cacheHierarchy>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79398148" backgroundQuery="1" createdVersion="7" refreshedVersion="7" minRefreshableVersion="3" recordCount="0" supportSubquery="1" supportAdvancedDrill="1" xr:uid="{4008ED9A-6AB8-4EC8-B64B-63EF8A17E38D}">
  <cacheSource type="external" connectionId="5"/>
  <cacheFields count="3">
    <cacheField name="[Measures].[Sum of Sales]" caption="Sum of Sales" numFmtId="0" hierarchy="37" level="32767"/>
    <cacheField name="[orders].[Roast Type].[Roast Type]" caption="Roast Type" numFmtId="0" hierarchy="19" level="1">
      <sharedItems count="3">
        <s v="D"/>
        <s v="L"/>
        <s v="M"/>
      </sharedItems>
    </cacheField>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0" memberValueDatatype="130" unbalanced="0"/>
    <cacheHierarchy uniqueName="[orders].[Roast Type]" caption="Roast Type" attribute="1" defaultMemberUniqueName="[orders].[Roast Type].[All]" allUniqueName="[orders].[Roast Type].[All]" dimensionUniqueName="[orders]" displayFolder="" count="2" memberValueDatatype="130" unbalanced="0">
      <fieldsUsage count="2">
        <fieldUsage x="-1"/>
        <fieldUsage x="1"/>
      </fieldsUsage>
    </cacheHierarchy>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79861109" backgroundQuery="1" createdVersion="7" refreshedVersion="7" minRefreshableVersion="3" recordCount="0" supportSubquery="1" supportAdvancedDrill="1" xr:uid="{EE2E5664-EBEF-48C4-8602-E34132B02D1C}">
  <cacheSource type="external" connectionId="5"/>
  <cacheFields count="3">
    <cacheField name="[Measures].[Sum of Sales]" caption="Sum of Sales" numFmtId="0" hierarchy="37" level="32767"/>
    <cacheField name="[customers].[Country].[Country]" caption="Country" numFmtId="0" hierarchy="4" level="1">
      <sharedItems count="3">
        <s v="Ireland"/>
        <s v="United Kingdom"/>
        <s v="United States"/>
      </sharedItems>
    </cacheField>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fieldsUsage count="2">
        <fieldUsage x="-1"/>
        <fieldUsage x="1"/>
      </fieldsUsage>
    </cacheHierarchy>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0" memberValueDatatype="130" unbalanced="0"/>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80324071" backgroundQuery="1" createdVersion="7" refreshedVersion="7" minRefreshableVersion="3" recordCount="0" supportSubquery="1" supportAdvancedDrill="1" xr:uid="{ABF85291-259E-4998-BF41-4191AEA6D6A6}">
  <cacheSource type="external" connectionId="5"/>
  <cacheFields count="3">
    <cacheField name="[orders].[Customer Name].[Customer Name]" caption="Customer Name" numFmtId="0" hierarchy="15" level="1">
      <sharedItems count="913">
        <s v="Abba Pummell"/>
        <s v="Abbe Thys"/>
        <s v="Abigail Tolworthy"/>
        <s v="Abraham Coleman"/>
        <s v="Abrahan Mussen"/>
        <s v="Adele McFayden"/>
        <s v="Adelheid Gladhill"/>
        <s v="Adelice Isabell"/>
        <s v="Adham Greenhead"/>
        <s v="Adolphe Treherne"/>
        <s v="Adora Roubert"/>
        <s v="Adorne Gregoratti"/>
        <s v="Adrian Swaine"/>
        <s v="Adriana Lazarus"/>
        <s v="Adrianne Vairow"/>
        <s v="Agnes Adamides"/>
        <s v="Ailene Nesfield"/>
        <s v="Ailey Brash"/>
        <s v="Alberta Balsdone"/>
        <s v="Alberto Hutchinson"/>
        <s v="Alexa Sizey"/>
        <s v="Alexina Randals"/>
        <s v="Alf Housaman"/>
        <s v="Alfy Snowding"/>
        <s v="Alica Kift"/>
        <s v="Alikee Carryer"/>
        <s v="Alisha Hulburt"/>
        <s v="Alisun Baudino"/>
        <s v="Allis Wilmore"/>
        <s v="Almeria Burgett"/>
        <s v="Aloisia Allner"/>
        <s v="Alon Pllu"/>
        <s v="Alric Darth"/>
        <s v="Alva Filipczak"/>
        <s v="Alvis Elwin"/>
        <s v="Ambrosio Weinmann"/>
        <s v="Ameline Snazle"/>
        <s v="Ami Arnow"/>
        <s v="Amii Gallyon"/>
        <s v="Amity Chatto"/>
        <s v="Anabelle Hutchens"/>
        <s v="Ancell Fendt"/>
        <s v="Andie Rudram"/>
        <s v="Andrej Havick"/>
        <s v="Angelia Cleyburn"/>
        <s v="Angelia Cockrem"/>
        <s v="Angie Rizzetti"/>
        <s v="Anjanette Goldie"/>
        <s v="Annabel Antuk"/>
        <s v="Annabella Danzey"/>
        <s v="Annadiane Dykes"/>
        <s v="Annetta Brentnall"/>
        <s v="Annie Campsall"/>
        <s v="Anny Mundford"/>
        <s v="Anselma Attwater"/>
        <s v="Anson Iddison"/>
        <s v="Antone Harrold"/>
        <s v="Antonius Lewry"/>
        <s v="Arabella Fransewich"/>
        <s v="Araldo Bilbrook"/>
        <s v="Archambault Gillard"/>
        <s v="Arda Curley"/>
        <s v="Ardith Chill"/>
        <s v="Arel De Lasci"/>
        <s v="Arlana Ferrea"/>
        <s v="Arleen Braidman"/>
        <s v="Ashbey Tomaszewski"/>
        <s v="Astrix Kitchingham"/>
        <s v="Aube Follett"/>
        <s v="Audra Kelston"/>
        <s v="Auguste Rizon"/>
        <s v="Augustin Waterhouse"/>
        <s v="Aurea Corradino"/>
        <s v="Aurelia Burgwin"/>
        <s v="Aurlie McCarl"/>
        <s v="Avrit Davidowsky"/>
        <s v="Babb Pollins"/>
        <s v="Bar O' Mahony"/>
        <s v="Barnett Sillis"/>
        <s v="Barney Chisnell"/>
        <s v="Barrett Gudde"/>
        <s v="Barrie Fallowes"/>
        <s v="Bartholemy Flaherty"/>
        <s v="Baudoin Alldridge"/>
        <s v="Baxy Cargen"/>
        <s v="Bayard Wellan"/>
        <s v="Bear Gaish"/>
        <s v="Bearnard Wardell"/>
        <s v="Becca Ableson"/>
        <s v="Becky Semkins"/>
        <s v="Bee Fattorini"/>
        <s v="Beitris Keaveney"/>
        <s v="Beltran Mathon"/>
        <s v="Belvia Umpleby"/>
        <s v="Benedetto Gozzett"/>
        <s v="Benedikta Paumier"/>
        <s v="Benn Checci"/>
        <s v="Berkly Imrie"/>
        <s v="Bertine Byrd"/>
        <s v="Berty Beelby"/>
        <s v="Beryl Osborn"/>
        <s v="Beryle Cottier"/>
        <s v="Beryle Kenwell"/>
        <s v="Bette-ann Munden"/>
        <s v="Betti Lacasa"/>
        <s v="Bettina Leffek"/>
        <s v="Betty Fominov"/>
        <s v="Bidget Tremellier"/>
        <s v="Billy Neiland"/>
        <s v="Birgit Domange"/>
        <s v="Blake Kelloway"/>
        <s v="Blancha McAmish"/>
        <s v="Bo Kindley"/>
        <s v="Bob Giannazzi"/>
        <s v="Bobbe Castagneto"/>
        <s v="Bobbe Piggott"/>
        <s v="Bobbe Renner"/>
        <s v="Bobby Folomkin"/>
        <s v="Bobinette Hindsberg"/>
        <s v="Borg Daile"/>
        <s v="Boyce Tarte"/>
        <s v="Boyd Bett"/>
        <s v="Bram Revel"/>
        <s v="Bran Sterke"/>
        <s v="Brendan Grece"/>
        <s v="Brenn Dundredge"/>
        <s v="Brice Romera"/>
        <s v="Brittani Thoresbie"/>
        <s v="Broderick McGilvra"/>
        <s v="Brook Drage"/>
        <s v="Bunny Naulls"/>
        <s v="Burnard Bartholin"/>
        <s v="Byram Mergue"/>
        <s v="Byron Acarson"/>
        <s v="Caddric Atcheson"/>
        <s v="Caddric Krzysztofiak"/>
        <s v="Cam Jewster"/>
        <s v="Camellia Kid"/>
        <s v="Carlie Harce"/>
        <s v="Carlie Linskill"/>
        <s v="Carmelita Thowes"/>
        <s v="Carmina Hubbuck"/>
        <s v="Carney Clemencet"/>
        <s v="Carolann Beine"/>
        <s v="Carolee Winchcombe"/>
        <s v="Casi Gwinnett"/>
        <s v="Cassie Pinkerton"/>
        <s v="Catarina Donn"/>
        <s v="Catharine Scoines"/>
        <s v="Cece Inker"/>
        <s v="Cecil Weatherall"/>
        <s v="Cecily Stebbings"/>
        <s v="Celestia Dolohunty"/>
        <s v="Celia Bakeup"/>
        <s v="Celie MacCourt"/>
        <s v="Chad Miguel"/>
        <s v="Chaddie Bennie"/>
        <s v="Chance Rowthorn"/>
        <s v="Channa Belamy"/>
        <s v="Chantal Mersh"/>
        <s v="Charin Maplethorp"/>
        <s v="Charin Penwarden"/>
        <s v="Charis Crosier"/>
        <s v="Charlean Keave"/>
        <s v="Charmane Denys"/>
        <s v="Chester Clowton"/>
        <s v="Chiarra Shalders"/>
        <s v="Chickie Ragless"/>
        <s v="Chloette Bernardot"/>
        <s v="Chloris Sorrell"/>
        <s v="Chris Croster"/>
        <s v="Christel Speak"/>
        <s v="Christoffer O' Shea"/>
        <s v="Christopher Grieveson"/>
        <s v="Chrisy Blofeld"/>
        <s v="Chuck Kendrick"/>
        <s v="Cindra Burling"/>
        <s v="Cissiee Raisbeck"/>
        <s v="Claiborne Feye"/>
        <s v="Claiborne Mottram"/>
        <s v="Claudell Ayre"/>
        <s v="Claudetta Rushe"/>
        <s v="Claudie Weond"/>
        <s v="Clayton Kingwell"/>
        <s v="Clement Vasiliev"/>
        <s v="Cleopatra Goodrum"/>
        <s v="Cletis Giacomazzo"/>
        <s v="Cleve Blowfelde"/>
        <s v="Cobby Cromwell"/>
        <s v="Codi Littrell"/>
        <s v="Cody Verissimo"/>
        <s v="Colene Elgey"/>
        <s v="Conchita Bryde"/>
        <s v="Connor Heaviside"/>
        <s v="Conny Gheraldi"/>
        <s v="Constance Halfhide"/>
        <s v="Constanta Hatfull"/>
        <s v="Cordi Switsur"/>
        <s v="Cordy Odgaard"/>
        <s v="Corine Drewett"/>
        <s v="Corinna Catcheside"/>
        <s v="Corney Curme"/>
        <s v="Cornie Venour"/>
        <s v="Correy Bourner"/>
        <s v="Correy Cottingham"/>
        <s v="Corrie Wass"/>
        <s v="Cortney Gibbonson"/>
        <s v="Cos Fluin"/>
        <s v="Courtney Pallant"/>
        <s v="Craggy Bril"/>
        <s v="Cristina Aleixo"/>
        <s v="Culley Farris"/>
        <s v="Currey MacAllister"/>
        <s v="Cybill Graddell"/>
        <s v="Dael Camilletti"/>
        <s v="Dagny Kornel"/>
        <s v="Dalia Eburah"/>
        <s v="Dallas Yarham"/>
        <s v="Daniel Heinonen"/>
        <s v="Darby Dummer"/>
        <s v="Darcy Lochran"/>
        <s v="Darice Heaford"/>
        <s v="Darn Penquet"/>
        <s v="Darrin Tingly"/>
        <s v="Daryn Cassius"/>
        <s v="Daryn Dibley"/>
        <s v="Davida Caro"/>
        <s v="De Drewitt"/>
        <s v="Deana Staite"/>
        <s v="Delainey Kiddy"/>
        <s v="Dell Daveridge"/>
        <s v="Dell Gut"/>
        <s v="Delmar Beasant"/>
        <s v="Demetris Micheli"/>
        <s v="Denny O' Ronan"/>
        <s v="Denyse O'Calleran"/>
        <s v="Deonne Shortall"/>
        <s v="Derick Snow"/>
        <s v="Derrek Allpress"/>
        <s v="Desdemona Eye"/>
        <s v="Devan Crownshaw"/>
        <s v="Devland Gritton"/>
        <s v="Devon Magowan"/>
        <s v="Devy Bulbrook"/>
        <s v="Diane-marie Wincer"/>
        <s v="Dianne Chardin"/>
        <s v="Dick Drinkall"/>
        <s v="Diena Peetermann"/>
        <s v="Dinah Crutcher"/>
        <s v="Dionne Skyner"/>
        <s v="Doll Beauchamp"/>
        <s v="Dollie Gadsden"/>
        <s v="Dolores Duffie"/>
        <s v="Dom Milella"/>
        <s v="Domeniga Duke"/>
        <s v="Don Flintiff"/>
        <s v="Donalt Sangwin"/>
        <s v="Donavon Fowle"/>
        <s v="Donica Bonhome"/>
        <s v="Donna Baskeyfied"/>
        <s v="Donnie Hedlestone"/>
        <s v="Donny Fries"/>
        <s v="Doralin Baison"/>
        <s v="Dorelia Bury"/>
        <s v="Dorette Hinemoor"/>
        <s v="Dorey Sopper"/>
        <s v="Dorian Vizor"/>
        <s v="Dorie de la Tremoille"/>
        <s v="Dorotea Hollyman"/>
        <s v="Dottie Rallin"/>
        <s v="Dottie Tift"/>
        <s v="Drake Jevon"/>
        <s v="Duky Phizackerly"/>
        <s v="Dyanna Aizikovitz"/>
        <s v="Eal D'Ambrogio"/>
        <s v="Eddi Sedgebeer"/>
        <s v="Edeline Edney"/>
        <s v="Edin Mathe"/>
        <s v="Edin Yantsurev"/>
        <s v="Effie Yurkov"/>
        <s v="Elden Andriessen"/>
        <s v="Elizabet Aizikowitz"/>
        <s v="Elka Windress"/>
        <s v="Elna Grise"/>
        <s v="Elonore Goodings"/>
        <s v="Elonore Joliffe"/>
        <s v="Elsbeth Westerman"/>
        <s v="Else Langcaster"/>
        <s v="Elvina Angel"/>
        <s v="Elysee Sketch"/>
        <s v="Emalee Rolin"/>
        <s v="Emiline Galgey"/>
        <s v="Emiline Priddis"/>
        <s v="Emlynne Heining"/>
        <s v="Emlynne Laird"/>
        <s v="Emlynne Palfrey"/>
        <s v="Emmaline Rasmus"/>
        <s v="Enriqueta Ixor"/>
        <s v="Ericka Tripp"/>
        <s v="Ermin Beeble"/>
        <s v="Erny Stenyng"/>
        <s v="Ethel Ryles"/>
        <s v="Ethelda Hobbing"/>
        <s v="Eustace Stenton"/>
        <s v="Eveleen Bletsor"/>
        <s v="Evelina Dacca"/>
        <s v="Evy Wilsone"/>
        <s v="Ewell Hanby"/>
        <s v="Faber Eilhart"/>
        <s v="Fanchette Parlot"/>
        <s v="Fanchon Haughian"/>
        <s v="Fanny Flanagan"/>
        <s v="Faunie Brigham"/>
        <s v="Felecia Dodgson"/>
        <s v="Felice Miell"/>
        <s v="Felicia Jecock"/>
        <s v="Feliks Babber"/>
        <s v="Felita Dauney"/>
        <s v="Felita Eshmade"/>
        <s v="Ferdie Tourry"/>
        <s v="Fernando Sulman"/>
        <s v="Ferrell Ferber"/>
        <s v="Fielding Keinrat"/>
        <s v="Filip Antcliffe"/>
        <s v="Fleur Parres"/>
        <s v="Florinda Matusovsky"/>
        <s v="Flory Crumpe"/>
        <s v="Flynn Antony"/>
        <s v="Foster Constance"/>
        <s v="Francesco Dressel"/>
        <s v="Franny Kienlein"/>
        <s v="Frans Habbergham"/>
        <s v="Fransisco Malecky"/>
        <s v="Freda Hollows"/>
        <s v="Freeland Missenden"/>
        <s v="Friederike Drysdale"/>
        <s v="Gabey Cogan"/>
        <s v="Gabie Tweed"/>
        <s v="Gabriel Starcks"/>
        <s v="Gaile Goggin"/>
        <s v="Gale Croysdale"/>
        <s v="Gale Heindrick"/>
        <s v="Gallard Gatheral"/>
        <s v="Gardy Dimitriou"/>
        <s v="Gaspar McGavin"/>
        <s v="Gay Eilhersen"/>
        <s v="Gay Rizzello"/>
        <s v="Geneva Standley"/>
        <s v="Geoffrey Siuda"/>
        <s v="Georgena Bentjens"/>
        <s v="Gerard Pirdy"/>
        <s v="Gerardo Schonfeld"/>
        <s v="Giacobo Skingle"/>
        <s v="Giana Tonnesen"/>
        <s v="Gilberto Cornier"/>
        <s v="Giordano Lorenzin"/>
        <s v="Gladi Ducker"/>
        <s v="Glory Clemon"/>
        <s v="Gnni Cheeke"/>
        <s v="Godfry Poinsett"/>
        <s v="Goldie Wynes"/>
        <s v="Gonzales Cicculi"/>
        <s v="Gothart Bamfield"/>
        <s v="Graeme Whitehead"/>
        <s v="Gran Sibray"/>
        <s v="Granger Fantham"/>
        <s v="Granger Smallcombe"/>
        <s v="Granville Alberts"/>
        <s v="Grazia Oats"/>
        <s v="Gregg Hawkyens"/>
        <s v="Gregorius Kislingbury"/>
        <s v="Gregorius Trengrove"/>
        <s v="Grete Holborn"/>
        <s v="Guenevere Ruggen"/>
        <s v="Gunilla Lynch"/>
        <s v="Gussy Broadbear"/>
        <s v="Gustaf Ciccotti"/>
        <s v="Guthrey Petracci"/>
        <s v="Gwenni Ratt"/>
        <s v="Hadley Reuven"/>
        <s v="Hailee Radbone"/>
        <s v="Hall Ranner"/>
        <s v="Hally Lorait"/>
        <s v="Hamish MacSherry"/>
        <s v="Hamish Skeech"/>
        <s v="Hamlen Pallister"/>
        <s v="Harland Trematick"/>
        <s v="Hartley Mattioli"/>
        <s v="Harwilll Bishell"/>
        <s v="Haslett Jodrelle"/>
        <s v="Hatty Dovydenas"/>
        <s v="Hayward Goulter"/>
        <s v="Hazel Iacopini"/>
        <s v="Hazel Saill"/>
        <s v="Heall Perris"/>
        <s v="Heda Fromant"/>
        <s v="Helaina Rainforth"/>
        <s v="Helli Petroulis"/>
        <s v="Heloise Zeal"/>
        <s v="Henderson Crowne"/>
        <s v="Herbie Peppard"/>
        <s v="Hermann Larvor"/>
        <s v="Herta Layne"/>
        <s v="Hetti Measures"/>
        <s v="Hetti Penson"/>
        <s v="Hewet Synnot"/>
        <s v="Hildegarde Brangan"/>
        <s v="Hillel Mairs"/>
        <s v="Homer Dulany"/>
        <s v="Hussein Olliff"/>
        <s v="Hy Zanetto"/>
        <s v="Ibby Charters"/>
        <s v="Ilaire Sprakes"/>
        <s v="Ilka Gurnee"/>
        <s v="Ilysa Whapple"/>
        <s v="Ingamar Eberlein"/>
        <s v="Ingeberg Mulliner"/>
        <s v="Ingelbert Hotchkin"/>
        <s v="Inger Bouldon"/>
        <s v="Innis Renhard"/>
        <s v="Iorgo Kleinert"/>
        <s v="Ira Sjostrom"/>
        <s v="Irv Hay"/>
        <s v="Irvine Phillpot"/>
        <s v="Isa Blazewicz"/>
        <s v="Isac Jesper"/>
        <s v="Isahella Hagland"/>
        <s v="Isidore Hussey"/>
        <s v="Isis Hessel"/>
        <s v="Isis Pikett"/>
        <s v="Itch Norquoy"/>
        <s v="Izaak Primak"/>
        <s v="Jacinthe Balsillie"/>
        <s v="Jackquelin Chugg"/>
        <s v="Jacquelyn Maha"/>
        <s v="Jaimie Hatz"/>
        <s v="Jami Redholes"/>
        <s v="Jammie Cloke"/>
        <s v="Janella Eden"/>
        <s v="Janella Millett"/>
        <s v="Janeva Edinboro"/>
        <s v="Janifer Bagot"/>
        <s v="Jany Rudeforth"/>
        <s v="Jaquenette Skentelbery"/>
        <s v="Jarred Camillo"/>
        <s v="Jarret Toye"/>
        <s v="Jasper Sisneros"/>
        <s v="Javier Causnett"/>
        <s v="Javier Kopke"/>
        <s v="Jed Kennicott"/>
        <s v="Jeffrey Dufaire"/>
        <s v="Jemimah Ethelston"/>
        <s v="Jennica Tewelson"/>
        <s v="Jennifer Rangall"/>
        <s v="Jennifer Wilkisson"/>
        <s v="Jeno Capey"/>
        <s v="Jeno Druitt"/>
        <s v="Jereme Gippes"/>
        <s v="Jermaine Branchett"/>
        <s v="Jessica McNess"/>
        <s v="Jewelle Shenton"/>
        <s v="Jilly Dreng"/>
        <s v="Jimmy Dymoke"/>
        <s v="Joceline Reddoch"/>
        <s v="Jocko Pray"/>
        <s v="Jodee Caldicott"/>
        <s v="Joey Jefferys"/>
        <s v="Johna Bluck"/>
        <s v="Johnath Fairebrother"/>
        <s v="Jordana Halden"/>
        <s v="Jorge Bettison"/>
        <s v="Josefina Ferens"/>
        <s v="Joshuah Awdry"/>
        <s v="Judd De Leek"/>
        <s v="Jule Deehan"/>
        <s v="Julio Armytage"/>
        <s v="Julius Mccaull"/>
        <s v="Kacy Canto"/>
        <s v="Kaela Nottram"/>
        <s v="Kaja Loxton"/>
        <s v="Kameko Philbrick"/>
        <s v="Kandace Cragell"/>
        <s v="Kandy Heddan"/>
        <s v="Kari Swede"/>
        <s v="Karl Imorts"/>
        <s v="Karlan Karby"/>
        <s v="Karry Flanders"/>
        <s v="Karylin Huddart"/>
        <s v="Katerina Melloi"/>
        <s v="Kathleen Diable"/>
        <s v="Keefer Cake"/>
        <s v="Ken Lestrange"/>
        <s v="Kendra Backshell"/>
        <s v="Kendra Glison"/>
        <s v="Kenton Wetherick"/>
        <s v="Kerr Patise"/>
        <s v="Ketty Bromehead"/>
        <s v="Kevan Grinsted"/>
        <s v="Kienan Ferson"/>
        <s v="Kienan Scholard"/>
        <s v="Killian Osler"/>
        <s v="Kim Kemery"/>
        <s v="Kimberli Mustchin"/>
        <s v="Kipper Boorn"/>
        <s v="Kippie Marrison"/>
        <s v="Kiri Avramow"/>
        <s v="Kizzie Warman"/>
        <s v="Klarika Egglestone"/>
        <s v="Konstantine Thoumasson"/>
        <s v="Koralle Heads"/>
        <s v="Koren Ferretti"/>
        <s v="Koressa O'Geneay"/>
        <s v="Kris O'Cullen"/>
        <s v="Krissie Hammett"/>
        <s v="Kristos Streight"/>
        <s v="Kylie Mowat"/>
        <s v="Kynthia Berick"/>
        <s v="Lacee Burtenshaw"/>
        <s v="Lacee Tanti"/>
        <s v="Lamond Gheeraert"/>
        <s v="Laryssa Benediktovich"/>
        <s v="Laurence Ellingham"/>
        <s v="Lauritz Ledgley"/>
        <s v="Lawrence Pratt"/>
        <s v="Layne Imason"/>
        <s v="Leesa Flaonier"/>
        <s v="Leia Kernan"/>
        <s v="Lem Pennacci"/>
        <s v="Lemuel Rignold"/>
        <s v="Lenci Haggerstone"/>
        <s v="Lenette Dwerryhouse"/>
        <s v="Lenka Rushmer"/>
        <s v="Lenore Messenbird"/>
        <s v="Leonie Cullrford"/>
        <s v="Leonore Francisco"/>
        <s v="Leontine Rubrow"/>
        <s v="Leta Clarricoates"/>
        <s v="Lewes Danes"/>
        <s v="Lexie Mallan"/>
        <s v="Lind Conyers"/>
        <s v="Lindon Agnolo"/>
        <s v="Lindy Uttermare"/>
        <s v="Linn Alaway"/>
        <s v="Linus Flippelli"/>
        <s v="Lisa Goodger"/>
        <s v="Livy Lathleiff"/>
        <s v="Llywellyn Oscroft"/>
        <s v="Lora Dukes"/>
        <s v="Lorelei Nardoni"/>
        <s v="Lorenzo Yeoland"/>
        <s v="Lorianne Kyneton"/>
        <s v="Lorin Guerrazzi"/>
        <s v="Lothaire Mizzi"/>
        <s v="Lowell Keenleyside"/>
        <s v="Loydie Langlais"/>
        <s v="Lucienne Scargle"/>
        <s v="Lukas Whittlesee"/>
        <s v="Lyell Murch"/>
        <s v="Lyn Entwistle"/>
        <s v="Lyndsey MacManus"/>
        <s v="Lyndsey Megany"/>
        <s v="Lynnea Danton"/>
        <s v="Lyon Ibert"/>
        <s v="Mab Blakemore"/>
        <s v="Madelaine Sharples"/>
        <s v="Madelene Prinn"/>
        <s v="Mag Armistead"/>
        <s v="Maggy Baistow"/>
        <s v="Maggy Harby"/>
        <s v="Mahala Ludwell"/>
        <s v="Maisie Sarvar"/>
        <s v="Maitilde Boxill"/>
        <s v="Mallory Shrimpling"/>
        <s v="Malynda Glawsop"/>
        <s v="Malynda Purbrick"/>
        <s v="Man Fright"/>
        <s v="Manuel Darrigoe"/>
        <s v="Mar McIver"/>
        <s v="Margarette Sterland"/>
        <s v="Margie Palleske"/>
        <s v="Marguerite Graves"/>
        <s v="Marianna Vedmore"/>
        <s v="Marie-jeanne Redgrave"/>
        <s v="Marja Urion"/>
        <s v="Marjorie Yoxen"/>
        <s v="Marlena Howsden"/>
        <s v="Marne Mingey"/>
        <s v="Marris Grcic"/>
        <s v="Martie Brimilcombe"/>
        <s v="Marty Kidstoun"/>
        <s v="Marty Scholl"/>
        <s v="Marvin Gundry"/>
        <s v="Marvin Malloy"/>
        <s v="Mathew Goulter"/>
        <s v="Mathilda Matiasek"/>
        <s v="Maurie Bartol"/>
        <s v="Maxim McParland"/>
        <s v="Meade Birkin"/>
        <s v="Melania Beadle"/>
        <s v="Melli Brockway"/>
        <s v="Mellisa Mebes"/>
        <s v="Melodie OIlier"/>
        <s v="Melosa Kippen"/>
        <s v="Melvin Wharfe"/>
        <s v="Mercedes Acott"/>
        <s v="Merell Zanazzi"/>
        <s v="Merrel Steptow"/>
        <s v="Merrile Cobbledick"/>
        <s v="Michale Delves"/>
        <s v="Micki Fero"/>
        <s v="Milty Middis"/>
        <s v="Mina Elstone"/>
        <s v="Mindy Bogey"/>
        <s v="Minetta Ackrill"/>
        <s v="Minette Whellans"/>
        <s v="Minni Alabaster"/>
        <s v="Minny Chamberlayne"/>
        <s v="Miran Doidge"/>
        <s v="Mitch Attwool"/>
        <s v="Modesty MacConnechie"/>
        <s v="Mohandis Spurden"/>
        <s v="Monica Fearon"/>
        <s v="Monique Canty"/>
        <s v="Mord Meriet"/>
        <s v="Mordy Van Der Vlies"/>
        <s v="Morgen Seson"/>
        <s v="Morly Rocks"/>
        <s v="Morna Hansed"/>
        <s v="Mozelle Calcutt"/>
        <s v="Muffin Yallop"/>
        <s v="Murdock Hame"/>
        <s v="Murielle Lorinez"/>
        <s v="Myles Seawright"/>
        <s v="Myrle Dearden"/>
        <s v="Nadeen Broomer"/>
        <s v="Nalani Pirrone"/>
        <s v="Nanine McCarthy"/>
        <s v="Nannie Naseby"/>
        <s v="Nanny Izhakov"/>
        <s v="Nanny Lush"/>
        <s v="Nat Saleway"/>
        <s v="Natal Vigrass"/>
        <s v="Nataniel Helkin"/>
        <s v="Nathan Sictornes"/>
        <s v="Nathaniel Bloxland"/>
        <s v="Natka Leethem"/>
        <s v="Nealson Cuttler"/>
        <s v="Neely Broadberrie"/>
        <s v="Nelie Garnson"/>
        <s v="Nertie Poolman"/>
        <s v="Neville Piatto"/>
        <s v="Nevins Glowacz"/>
        <s v="Nevsa Fields"/>
        <s v="Nick Brakespear"/>
        <s v="Nickey Dimbleby"/>
        <s v="Nickey Youles"/>
        <s v="Nicko Corps"/>
        <s v="Nicky Ayris"/>
        <s v="Nico Hubert"/>
        <s v="Nicolas Aiton"/>
        <s v="Nicolina Jenny"/>
        <s v="Niels Leake"/>
        <s v="Nissie Rudland"/>
        <s v="Noak Wyvill"/>
        <s v="Noam Climance"/>
        <s v="Nobe Buney"/>
        <s v="Noel Chisholm"/>
        <s v="Nona Linklater"/>
        <s v="Noni Furber"/>
        <s v="Norene Magauran"/>
        <s v="Odelia Skerme"/>
        <s v="Odille Thynne"/>
        <s v="Olag Baudassi"/>
        <s v="Oran Colbeck"/>
        <s v="Orazio Comber"/>
        <s v="Orbadiah Duny"/>
        <s v="Orion Dyott"/>
        <s v="Orland Tadman"/>
        <s v="Orly Ryland"/>
        <s v="Osbert Robins"/>
        <s v="Osmund Clausen-Thue"/>
        <s v="Othello Syseland"/>
        <s v="Pall Redford"/>
        <s v="Pammi Endacott"/>
        <s v="Paola Brydell"/>
        <s v="Parker Tofful"/>
        <s v="Parsifal Metrick"/>
        <s v="Patrice Trobe"/>
        <s v="Patsy Vasilenko"/>
        <s v="Paula Denis"/>
        <s v="Paulie Fonzone"/>
        <s v="Paulo Yea"/>
        <s v="Pen Wye"/>
        <s v="Perice Eberz"/>
        <s v="Perkin Stonner"/>
        <s v="Perry Lyfield"/>
        <s v="Petey Kingsbury"/>
        <s v="Peyter Lauritzen"/>
        <s v="Peyter Matignon"/>
        <s v="Philipa Petrushanko"/>
        <s v="Phyllys Ormerod"/>
        <s v="Pippo Witherington"/>
        <s v="Portie Cutchie"/>
        <s v="Pren Bess"/>
        <s v="Pru Durban"/>
        <s v="Queenie Veel"/>
        <s v="Quinn Parsons"/>
        <s v="Quintina Heavyside"/>
        <s v="Quinton Fouracres"/>
        <s v="Rachelle Elizabeth"/>
        <s v="Rafaela Treacher"/>
        <s v="Rafferty Pursglove"/>
        <s v="Raleigh Lepere"/>
        <s v="Ramon Cheak"/>
        <s v="Rana Sharer"/>
        <s v="Randal Longfield"/>
        <s v="Ransell McKall"/>
        <s v="Raphaela Schankelborg"/>
        <s v="Rasia Jacquemard"/>
        <s v="Raynor McGilvary"/>
        <s v="Rea Offell"/>
        <s v="Read Cutts"/>
        <s v="Reamonn Aynold"/>
        <s v="Rebeka Worg"/>
        <s v="Redd Simao"/>
        <s v="Reese Lidgey"/>
        <s v="Reggie Thickpenny"/>
        <s v="Reggis Pracy"/>
        <s v="Reinaldos Kirtley"/>
        <s v="Rem Furman"/>
        <s v="Reube Cawley"/>
        <s v="Reynolds Crookshanks"/>
        <s v="Rhetta Elnaugh"/>
        <s v="Rhetta Zywicki"/>
        <s v="Rhianon Broxup"/>
        <s v="Rhodie Strathern"/>
        <s v="Rhona Lequeux"/>
        <s v="Rickey Readie"/>
        <s v="Rickie Faltin"/>
        <s v="Rikki Tomkowicz"/>
        <s v="Rivy Farington"/>
        <s v="Rochette Huscroft"/>
        <s v="Rod Gowdie"/>
        <s v="Rodger Raven"/>
        <s v="Rodolfo Willoway"/>
        <s v="Romain Avrashin"/>
        <s v="Ronda Pyson"/>
        <s v="Rosaleen Scholar"/>
        <s v="Rosaline McLae"/>
        <s v="Roxie Deaconson"/>
        <s v="Roxine Drivers"/>
        <s v="Rozele Relton"/>
        <s v="Rudiger Di Bartolomeo"/>
        <s v="Rudy Farquharson"/>
        <s v="Rufus Flear"/>
        <s v="Russell Donet"/>
        <s v="Rutger Pithcock"/>
        <s v="Ruy Cancellieri"/>
        <s v="Ryann Stickler"/>
        <s v="Sacha Bruun"/>
        <s v="Sada Roseborough"/>
        <s v="Salomo Cushworth"/>
        <s v="Samuele Ales0"/>
        <s v="Samuele Klaaassen"/>
        <s v="Sarajane Potter"/>
        <s v="Saree Ellesworth"/>
        <s v="Sarette Ducarel"/>
        <s v="Say Risborough"/>
        <s v="Scarlett Oliffe"/>
        <s v="Sean Lorenzetti"/>
        <s v="Selene Shales"/>
        <s v="Selia Ragles"/>
        <s v="Selle Scurrer"/>
        <s v="Selma McMillian"/>
        <s v="Serena Earley"/>
        <s v="Shannon List"/>
        <s v="Sharity Wickens"/>
        <s v="Sharl Southerill"/>
        <s v="Sharona Danilchik"/>
        <s v="Shawnee Critchlow"/>
        <s v="Shay Couronne"/>
        <s v="Shaylynn Lobe"/>
        <s v="Shelley Gehring"/>
        <s v="Shelley Titley"/>
        <s v="Shelli De Banke"/>
        <s v="Shelli Keynd"/>
        <s v="Sheppard Yann"/>
        <s v="Sherman Mewrcik"/>
        <s v="Shermy Moseby"/>
        <s v="Shirleen Welds"/>
        <s v="Shirlene Edmondson"/>
        <s v="Sibella Rushbrooke"/>
        <s v="Sidney Gawen"/>
        <s v="Sigfrid Busch"/>
        <s v="Silas Deehan"/>
        <s v="Silvan McShea"/>
        <s v="Silvana Northeast"/>
        <s v="Silvanus Enefer"/>
        <s v="Silvio Iorizzi"/>
        <s v="Silvio Strase"/>
        <s v="Sim Pamphilon"/>
        <s v="Simone Capon"/>
        <s v="Sinclare Edsell"/>
        <s v="Skelly Dolohunty"/>
        <s v="Skipton Morrall"/>
        <s v="Sky Farnish"/>
        <s v="Skylar Jeyness"/>
        <s v="Sloan Diviny"/>
        <s v="Spencer Wastell"/>
        <s v="Stacy Pickworth"/>
        <s v="Stan Barribal"/>
        <s v="Stanford Rodliff"/>
        <s v="Stanislaus Gilroy"/>
        <s v="Stanislaus Valsler"/>
        <s v="Stanly Keets"/>
        <s v="Starr Arpin"/>
        <s v="Stearne Count"/>
        <s v="Stevana Woodham"/>
        <s v="Suzanna Bollam"/>
        <s v="Sylas Jennaroy"/>
        <s v="Tallie felip"/>
        <s v="Tamarah Fero"/>
        <s v="Tammie Drynan"/>
        <s v="Tani Taffarello"/>
        <s v="Tania Craggs"/>
        <s v="Tawnya Menary"/>
        <s v="Teddi Crowthe"/>
        <s v="Teddi Quadri"/>
        <s v="Temple Castiglione"/>
        <s v="Terence Vanyutin"/>
        <s v="Terencio O'Moylan"/>
        <s v="Terri Farra"/>
        <s v="Terri Lyford"/>
        <s v="Terry Sheryn"/>
        <s v="Tersina Castagne"/>
        <s v="Tess Benediktovich"/>
        <s v="Tess Bennison"/>
        <s v="Theda Grizard"/>
        <s v="Theo Bowne"/>
        <s v="Theo Jacobovitz"/>
        <s v="Theresita Newbury"/>
        <s v="Tiffany Scardafield"/>
        <s v="Tildie Tilzey"/>
        <s v="Timofei Woofinden"/>
        <s v="Timoteo Glisane"/>
        <s v="Tomas Sutty"/>
        <s v="Tomasina Cotmore"/>
        <s v="Torie Gottelier"/>
        <s v="Tory Walas"/>
        <s v="Trescha Jedrachowicz"/>
        <s v="Trina Le Sarr"/>
        <s v="Trumaine Tewelson"/>
        <s v="Tuckie Mathonnet"/>
        <s v="Tymon Zanetti"/>
        <s v="Ugo Southerden"/>
        <s v="Una Welberry"/>
        <s v="Uriah Lethbrig"/>
        <s v="Val Wakelin"/>
        <s v="Valenka Stansbury"/>
        <s v="Vallie Kundt"/>
        <s v="Vanna Le - Count"/>
        <s v="Vanya Skullet"/>
        <s v="Vasili Upstone"/>
        <s v="Vasily Polglase"/>
        <s v="Verne Dunkerley"/>
        <s v="Vernor Pawsey"/>
        <s v="Vicki Kirdsch"/>
        <s v="Vidovic Antonelli"/>
        <s v="Vinny Shoebotham"/>
        <s v="Violante Skouling"/>
        <s v="Violette Hellmore"/>
        <s v="Virgil Baumadier"/>
        <s v="Vivie Danneil"/>
        <s v="Vivyan Ceely"/>
        <s v="Vivyan Dunning"/>
        <s v="Wain Cholomin"/>
        <s v="Wain Stearley"/>
        <s v="Wallis Bernth"/>
        <s v="Waneta Edinborough"/>
        <s v="Wang Powlesland"/>
        <s v="Warner Maddox"/>
        <s v="Waylan Springall"/>
        <s v="Waylin Hollingdale"/>
        <s v="Webb Speechly"/>
        <s v="Wesley Giorgioni"/>
        <s v="Wilek Lightollers"/>
        <s v="Wiley Leopold"/>
        <s v="Willa Rolling"/>
        <s v="Willabella Abramski"/>
        <s v="Willabella Harvison"/>
        <s v="Willey Romao"/>
        <s v="Willy Pummery"/>
        <s v="Wilton Cottier"/>
        <s v="Wilton Jallin"/>
        <s v="Winn Keyse"/>
        <s v="Winne Roche"/>
        <s v="Witty Ranson"/>
        <s v="Wren Place"/>
        <s v="Wright Caldero"/>
        <s v="Wyatan Fetherston"/>
        <s v="Xenos Gibbons"/>
        <s v="Yardley Basill"/>
        <s v="Yulma Dombrell"/>
        <s v="Yuma Skipsey"/>
        <s v="Yuri Burrells"/>
        <s v="Zaccaria Sherewood"/>
        <s v="Zachariah Carlson"/>
        <s v="Zacharias Kiffe"/>
        <s v="Zachary Tramel"/>
        <s v="Zack Pellett"/>
        <s v="Zeke Walisiak"/>
        <s v="Zilvia Claisse"/>
        <s v="Zorina Ponting"/>
      </sharedItems>
    </cacheField>
    <cacheField name="[Measures].[Sum of Sales]" caption="Sum of Sales" numFmtId="0" hierarchy="37" level="32767"/>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2" memberValueDatatype="130" unbalanced="0">
      <fieldsUsage count="2">
        <fieldUsage x="-1"/>
        <fieldUsage x="0"/>
      </fieldsUsage>
    </cacheHierarchy>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0" memberValueDatatype="130" unbalanced="0"/>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80787041" backgroundQuery="1" createdVersion="7" refreshedVersion="7" minRefreshableVersion="3" recordCount="0" supportSubquery="1" supportAdvancedDrill="1" xr:uid="{AF9069BE-5F11-43B0-A633-86B50563E4B0}">
  <cacheSource type="external" connectionId="5"/>
  <cacheFields count="4">
    <cacheField name="[Measures].[Sum of Sales]" caption="Sum of Sales" numFmtId="0" hierarchy="37" level="32767"/>
    <cacheField name="[Measures].[Sum of Profit]" caption="Sum of Profit" numFmtId="0" hierarchy="38" level="32767"/>
    <cacheField name="[Measures].[Sum of Cost of Good Sold]" caption="Sum of Cost of Good Sold" numFmtId="0" hierarchy="39" level="32767"/>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3"/>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0" memberValueDatatype="130" unbalanced="0"/>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oneField="1" hidden="1">
      <fieldsUsage count="1">
        <fieldUsage x="2"/>
      </fieldsUsage>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81250002" backgroundQuery="1" createdVersion="7" refreshedVersion="7" minRefreshableVersion="3" recordCount="0" supportSubquery="1" supportAdvancedDrill="1" xr:uid="{8AA31D0A-6248-4852-86AE-FCD32BDB5114}">
  <cacheSource type="external" connectionId="5"/>
  <cacheFields count="5">
    <cacheField name="[orders].[Coffee Type].[Coffee Type]" caption="Coffee Type" numFmtId="0" hierarchy="18" level="1">
      <sharedItems count="4">
        <s v="Ara"/>
        <s v="Exc"/>
        <s v="Lib"/>
        <s v="Rob"/>
      </sharedItems>
    </cacheField>
    <cacheField name="[Measures].[Sum of Cost of Good Sold]" caption="Sum of Cost of Good Sold" numFmtId="0" hierarchy="39" level="32767"/>
    <cacheField name="[Measures].[Sum of Sales]" caption="Sum of Sales" numFmtId="0" hierarchy="37" level="32767"/>
    <cacheField name="[Measures].[Sum of Profit]" caption="Sum of Profit" numFmtId="0" hierarchy="38" level="32767"/>
    <cacheField name="[Date].[Year].[Year]" caption="Year" numFmtId="0" hierarchy="7" level="1">
      <sharedItems containsSemiMixedTypes="0" containsNonDate="0" containsString="0"/>
    </cacheField>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4"/>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2" memberValueDatatype="130" unbalanced="0">
      <fieldsUsage count="2">
        <fieldUsage x="-1"/>
        <fieldUsage x="0"/>
      </fieldsUsage>
    </cacheHierarchy>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oneField="1" hidden="1">
      <fieldsUsage count="1">
        <fieldUsage x="3"/>
      </fieldsUsage>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hidden="1">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47.743081712964" backgroundQuery="1" createdVersion="7" refreshedVersion="7" minRefreshableVersion="3" recordCount="0" supportSubquery="1" supportAdvancedDrill="1" xr:uid="{473FD6F2-C176-4460-AB1E-1029E9C4C40B}">
  <cacheSource type="external" connectionId="5"/>
  <cacheFields count="3">
    <cacheField name="[customers].[Country].[Country]" caption="Country" numFmtId="0" hierarchy="4" level="1">
      <sharedItems count="3">
        <s v="Ireland"/>
        <s v="United Kingdom"/>
        <s v="United States"/>
      </sharedItems>
    </cacheField>
    <cacheField name="[Date].[Year].[Year]" caption="Year" numFmtId="0" hierarchy="7" level="1">
      <sharedItems containsSemiMixedTypes="0" containsNonDate="0" containsString="0"/>
    </cacheField>
    <cacheField name="[Measures].[Count of Coffee Type 2]" caption="Count of Coffee Type 2" numFmtId="0" hierarchy="42" level="32767"/>
  </cacheFields>
  <cacheHierarchies count="44">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fieldsUsage count="2">
        <fieldUsage x="-1"/>
        <fieldUsage x="0"/>
      </fieldsUsage>
    </cacheHierarchy>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0" memberValueDatatype="130" unbalanced="0"/>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13"/>
        </ext>
      </extLst>
    </cacheHierarchy>
    <cacheHierarchy uniqueName="[Measures].[Count of Coffee Type]" caption="Count of Coffee Type" measure="1" displayFolder="" measureGroup="products" count="0" hidden="1">
      <extLst>
        <ext xmlns:x15="http://schemas.microsoft.com/office/spreadsheetml/2010/11/main" uri="{B97F6D7D-B522-45F9-BDA1-12C45D357490}">
          <x15:cacheHierarchy aggregatedColumn="26"/>
        </ext>
      </extLst>
    </cacheHierarchy>
    <cacheHierarchy uniqueName="[Measures].[Count of Coffee Type 2]" caption="Count of Coffee Type 2" measure="1" displayFolder="" measureGroup="order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Roast Type]" caption="Count of Roast Type" measure="1" displayFolder="" measureGroup="orders" count="0" hidden="1">
      <extLst>
        <ext xmlns:x15="http://schemas.microsoft.com/office/spreadsheetml/2010/11/main" uri="{B97F6D7D-B522-45F9-BDA1-12C45D357490}">
          <x15:cacheHierarchy aggregatedColumn="19"/>
        </ext>
      </extLst>
    </cacheHierarchy>
  </cacheHierarchies>
  <kpis count="0"/>
  <dimensions count="5">
    <dimension name="customers" uniqueName="[customers]" caption="customers"/>
    <dimension name="Date" uniqueName="[Date]" caption="Date"/>
    <dimension measure="1" name="Measures" uniqueName="[Measures]" caption="Measures"/>
    <dimension name="orders" uniqueName="[orders]" caption="orders"/>
    <dimension name="products" uniqueName="[products]" caption="products"/>
  </dimensions>
  <measureGroups count="4">
    <measureGroup name="customers" caption="customers"/>
    <measureGroup name="Date" caption="Date"/>
    <measureGroup name="orders" caption="orders"/>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ddy Andri Suharto" refreshedDate="45439.540421180558" backgroundQuery="1" createdVersion="3" refreshedVersion="7" minRefreshableVersion="3" recordCount="0" supportSubquery="1" supportAdvancedDrill="1" xr:uid="{50097482-C79A-4D54-96A3-7EE4896EF672}">
  <cacheSource type="external" connectionId="5">
    <extLst>
      <ext xmlns:x14="http://schemas.microsoft.com/office/spreadsheetml/2009/9/main" uri="{F057638F-6D5F-4e77-A914-E7F072B9BCA8}">
        <x14:sourceConnection name="ThisWorkbookDataModel"/>
      </ext>
    </extLst>
  </cacheSource>
  <cacheFields count="0"/>
  <cacheHierarchies count="4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cacheHierarchy uniqueName="[Date].[Quarter]" caption="Quarter" attribute="1" defaultMemberUniqueName="[Date].[Quarter].[All]" allUniqueName="[Date].[Quarte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Email]" caption="Email" attribute="1" defaultMemberUniqueName="[orders].[Email].[All]" allUniqueName="[orders].[Email].[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offee Type]" caption="Coffee Type" attribute="1" defaultMemberUniqueName="[orders].[Coffee Type].[All]" allUniqueName="[orders].[Coffee Type].[All]" dimensionUniqueName="[orders]" displayFolder="" count="0" memberValueDatatype="130" unbalanced="0"/>
    <cacheHierarchy uniqueName="[orders].[Roast Type]" caption="Roast Type" attribute="1" defaultMemberUniqueName="[orders].[Roast Type].[All]" allUniqueName="[orders].[Roast Type].[All]" dimensionUniqueName="[orders]" displayFolder="" count="0" memberValueDatatype="130" unbalanced="0"/>
    <cacheHierarchy uniqueName="[orders].[Size]" caption="Size" attribute="1" defaultMemberUniqueName="[orders].[Size].[All]" allUniqueName="[orders].[Size].[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ales]" caption="Sales" attribute="1" defaultMemberUniqueName="[orders].[Sales].[All]" allUniqueName="[orders].[Sale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ost of Good Sold]" caption="Cost of Good Sold" attribute="1" defaultMemberUniqueName="[orders].[Cost of Good Sold].[All]" allUniqueName="[orders].[Cost of Good Sold].[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2"/>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3"/>
        </ext>
      </extLst>
    </cacheHierarchy>
    <cacheHierarchy uniqueName="[Measures].[Sum of Cost of Good Sold]" caption="Sum of Cost of Good Sold" measure="1" displayFolder="" measureGroup="orders"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3012679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5B0694-49B1-4401-B83F-392FDCF0EAC8}" name="PivotTable5" cacheId="48" applyNumberFormats="0" applyBorderFormats="0" applyFontFormats="0" applyPatternFormats="0" applyAlignmentFormats="0" applyWidthHeightFormats="1" dataCaption="Values" tag="cb34a0e0-41dc-40a8-abd4-aa38b96f4430" updatedVersion="7" minRefreshableVersion="3" useAutoFormatting="1" subtotalHiddenItems="1" itemPrintTitles="1" createdVersion="7" indent="0" outline="1" outlineData="1" multipleFieldFilters="0" rowHeaderCaption="Roast Type">
  <location ref="F3:G7"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Total Sales Sales" fld="0" baseField="0" baseItem="0"/>
  </dataField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Sale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A75613-2A33-402C-9D46-C62EF6EE2ECD}" name="PivotTable10" cacheId="63" applyNumberFormats="0" applyBorderFormats="0" applyFontFormats="0" applyPatternFormats="0" applyAlignmentFormats="0" applyWidthHeightFormats="1" dataCaption="Values" tag="1dcc6973-0975-44ca-af55-2cfa8e5005e4" updatedVersion="7" minRefreshableVersion="3" useAutoFormatting="1" subtotalHiddenItems="1" itemPrintTitles="1" createdVersion="7" indent="0" outline="1" outlineData="1" multipleFieldFilters="0" chartFormat="3" rowHeaderCaption="Country">
  <location ref="M3:N7" firstHeaderRow="1" firstDataRow="1" firstDataCol="1"/>
  <pivotFields count="3">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dataField="1" subtotalTop="0" showAll="0" defaultSubtotal="0"/>
  </pivotFields>
  <rowFields count="1">
    <field x="0"/>
  </rowFields>
  <rowItems count="4">
    <i>
      <x/>
    </i>
    <i>
      <x v="1"/>
    </i>
    <i>
      <x v="2"/>
    </i>
    <i t="grand">
      <x/>
    </i>
  </rowItems>
  <colItems count="1">
    <i/>
  </colItems>
  <dataFields count="1">
    <dataField name="Count of Coffee Type" fld="2" subtotal="count" baseField="0" baseItem="0"/>
  </dataFields>
  <formats count="1">
    <format dxfId="0">
      <pivotArea collapsedLevelsAreSubtotals="1" fieldPosition="0">
        <references count="1">
          <reference field="0" count="0"/>
        </references>
      </pivotArea>
    </format>
  </formats>
  <chartFormats count="5">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0" count="1" selected="0">
            <x v="0"/>
          </reference>
        </references>
      </pivotArea>
    </chartFormat>
    <chartFormat chart="2" format="7">
      <pivotArea type="data" outline="0" fieldPosition="0">
        <references count="2">
          <reference field="4294967294" count="1" selected="0">
            <x v="0"/>
          </reference>
          <reference field="0" count="1" selected="0">
            <x v="1"/>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AD31EB0-0CE9-4F1E-A9C5-4F7425079D42}" name="PivotTable9" cacheId="60" applyNumberFormats="0" applyBorderFormats="0" applyFontFormats="0" applyPatternFormats="0" applyAlignmentFormats="0" applyWidthHeightFormats="1" dataCaption="Values" tag="060cccb5-265e-4d69-813c-498126be65a7" updatedVersion="7" minRefreshableVersion="3" useAutoFormatting="1" subtotalHiddenItems="1" itemPrintTitles="1" createdVersion="7" indent="0" outline="1" outlineData="1" multipleFieldFilters="0" chartFormat="4" rowHeaderCaption="Coffee Type">
  <location ref="B27:E32" firstHeaderRow="0"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3">
    <i>
      <x/>
    </i>
    <i i="1">
      <x v="1"/>
    </i>
    <i i="2">
      <x v="2"/>
    </i>
  </colItems>
  <dataFields count="3">
    <dataField name="Sum of Sales" fld="2" baseField="0" baseItem="0"/>
    <dataField name="Sum of Profit" fld="3" baseField="0" baseItem="0"/>
    <dataField name="Cost of Good Sold" fld="1" baseField="0" baseItem="0" numFmtId="43"/>
  </dataFields>
  <formats count="1">
    <format dxfId="1">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caption="Total Profit"/>
    <pivotHierarchy dragToData="1" caption="COGS"/>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E1C314-0CA9-4B29-A06F-1C0D9B3CF826}" name="PivotTable4" cacheId="54" applyNumberFormats="0" applyBorderFormats="0" applyFontFormats="0" applyPatternFormats="0" applyAlignmentFormats="0" applyWidthHeightFormats="1" dataCaption="Values" tag="4ee8c25e-cc1f-4fa0-ab56-55f65db4fb3e" updatedVersion="7" minRefreshableVersion="3" useAutoFormatting="1" subtotalHiddenItems="1" itemPrintTitles="1" createdVersion="7" indent="0" outline="1" outlineData="1" multipleFieldFilters="0" rowHeaderCaption="Customer Name">
  <location ref="Q3:R917" firstHeaderRow="1" firstDataRow="1" firstDataCol="1"/>
  <pivotFields count="3">
    <pivotField axis="axisRow" allDrilled="1" subtotalTop="0" showAll="0" sortType="descending" defaultSubtotal="0" defaultAttributeDrillState="1">
      <items count="9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914">
    <i>
      <x v="28"/>
    </i>
    <i>
      <x v="125"/>
    </i>
    <i>
      <x v="831"/>
    </i>
    <i>
      <x v="646"/>
    </i>
    <i>
      <x v="255"/>
    </i>
    <i>
      <x v="237"/>
    </i>
    <i>
      <x v="126"/>
    </i>
    <i>
      <x v="20"/>
    </i>
    <i>
      <x v="17"/>
    </i>
    <i>
      <x v="785"/>
    </i>
    <i>
      <x v="639"/>
    </i>
    <i>
      <x v="826"/>
    </i>
    <i>
      <x v="518"/>
    </i>
    <i>
      <x v="289"/>
    </i>
    <i>
      <x v="218"/>
    </i>
    <i>
      <x v="528"/>
    </i>
    <i>
      <x v="181"/>
    </i>
    <i>
      <x v="390"/>
    </i>
    <i>
      <x v="190"/>
    </i>
    <i>
      <x v="762"/>
    </i>
    <i>
      <x v="226"/>
    </i>
    <i>
      <x v="820"/>
    </i>
    <i>
      <x v="696"/>
    </i>
    <i>
      <x v="610"/>
    </i>
    <i>
      <x v="724"/>
    </i>
    <i>
      <x v="329"/>
    </i>
    <i>
      <x v="401"/>
    </i>
    <i>
      <x v="117"/>
    </i>
    <i>
      <x v="272"/>
    </i>
    <i>
      <x v="631"/>
    </i>
    <i>
      <x v="417"/>
    </i>
    <i>
      <x v="233"/>
    </i>
    <i>
      <x v="288"/>
    </i>
    <i>
      <x v="312"/>
    </i>
    <i>
      <x v="439"/>
    </i>
    <i>
      <x v="327"/>
    </i>
    <i>
      <x v="583"/>
    </i>
    <i>
      <x v="381"/>
    </i>
    <i>
      <x v="669"/>
    </i>
    <i>
      <x v="608"/>
    </i>
    <i>
      <x v="372"/>
    </i>
    <i>
      <x v="402"/>
    </i>
    <i>
      <x v="465"/>
    </i>
    <i>
      <x v="189"/>
    </i>
    <i>
      <x v="297"/>
    </i>
    <i>
      <x v="852"/>
    </i>
    <i>
      <x v="788"/>
    </i>
    <i>
      <x v="655"/>
    </i>
    <i>
      <x v="879"/>
    </i>
    <i>
      <x v="679"/>
    </i>
    <i>
      <x v="668"/>
    </i>
    <i>
      <x v="371"/>
    </i>
    <i>
      <x v="107"/>
    </i>
    <i>
      <x v="265"/>
    </i>
    <i>
      <x v="128"/>
    </i>
    <i>
      <x v="517"/>
    </i>
    <i>
      <x v="486"/>
    </i>
    <i>
      <x v="250"/>
    </i>
    <i>
      <x v="112"/>
    </i>
    <i>
      <x v="238"/>
    </i>
    <i>
      <x v="328"/>
    </i>
    <i>
      <x v="814"/>
    </i>
    <i>
      <x v="484"/>
    </i>
    <i>
      <x v="188"/>
    </i>
    <i>
      <x v="463"/>
    </i>
    <i>
      <x v="477"/>
    </i>
    <i>
      <x v="690"/>
    </i>
    <i>
      <x v="10"/>
    </i>
    <i>
      <x v="216"/>
    </i>
    <i>
      <x v="775"/>
    </i>
    <i>
      <x v="475"/>
    </i>
    <i>
      <x v="559"/>
    </i>
    <i>
      <x v="504"/>
    </i>
    <i>
      <x v="577"/>
    </i>
    <i>
      <x v="519"/>
    </i>
    <i>
      <x v="279"/>
    </i>
    <i>
      <x v="98"/>
    </i>
    <i>
      <x v="40"/>
    </i>
    <i>
      <x v="883"/>
    </i>
    <i>
      <x v="543"/>
    </i>
    <i>
      <x v="222"/>
    </i>
    <i>
      <x v="767"/>
    </i>
    <i>
      <x v="397"/>
    </i>
    <i>
      <x v="379"/>
    </i>
    <i>
      <x v="462"/>
    </i>
    <i>
      <x v="832"/>
    </i>
    <i>
      <x v="654"/>
    </i>
    <i>
      <x v="496"/>
    </i>
    <i>
      <x v="470"/>
    </i>
    <i>
      <x v="435"/>
    </i>
    <i>
      <x v="262"/>
    </i>
    <i>
      <x v="86"/>
    </i>
    <i>
      <x v="51"/>
    </i>
    <i>
      <x v="241"/>
    </i>
    <i>
      <x v="721"/>
    </i>
    <i>
      <x v="745"/>
    </i>
    <i>
      <x v="546"/>
    </i>
    <i>
      <x v="581"/>
    </i>
    <i>
      <x v="464"/>
    </i>
    <i>
      <x v="204"/>
    </i>
    <i>
      <x v="267"/>
    </i>
    <i>
      <x v="152"/>
    </i>
    <i>
      <x v="406"/>
    </i>
    <i>
      <x v="223"/>
    </i>
    <i>
      <x v="252"/>
    </i>
    <i>
      <x v="163"/>
    </i>
    <i>
      <x v="12"/>
    </i>
    <i>
      <x v="715"/>
    </i>
    <i>
      <x v="378"/>
    </i>
    <i>
      <x v="73"/>
    </i>
    <i>
      <x v="263"/>
    </i>
    <i>
      <x v="293"/>
    </i>
    <i>
      <x v="786"/>
    </i>
    <i>
      <x v="239"/>
    </i>
    <i>
      <x v="909"/>
    </i>
    <i>
      <x v="333"/>
    </i>
    <i>
      <x v="8"/>
    </i>
    <i>
      <x v="29"/>
    </i>
    <i>
      <x v="176"/>
    </i>
    <i>
      <x v="387"/>
    </i>
    <i>
      <x v="208"/>
    </i>
    <i>
      <x v="285"/>
    </i>
    <i>
      <x v="450"/>
    </i>
    <i>
      <x v="357"/>
    </i>
    <i>
      <x v="130"/>
    </i>
    <i>
      <x v="769"/>
    </i>
    <i>
      <x v="164"/>
    </i>
    <i>
      <x v="144"/>
    </i>
    <i>
      <x v="636"/>
    </i>
    <i>
      <x v="307"/>
    </i>
    <i>
      <x v="356"/>
    </i>
    <i>
      <x v="55"/>
    </i>
    <i>
      <x v="893"/>
    </i>
    <i>
      <x v="673"/>
    </i>
    <i>
      <x v="719"/>
    </i>
    <i>
      <x v="458"/>
    </i>
    <i>
      <x v="48"/>
    </i>
    <i>
      <x v="580"/>
    </i>
    <i>
      <x v="674"/>
    </i>
    <i>
      <x v="887"/>
    </i>
    <i>
      <x v="695"/>
    </i>
    <i>
      <x v="240"/>
    </i>
    <i>
      <x v="138"/>
    </i>
    <i>
      <x v="248"/>
    </i>
    <i>
      <x v="154"/>
    </i>
    <i>
      <x v="354"/>
    </i>
    <i>
      <x v="375"/>
    </i>
    <i>
      <x v="175"/>
    </i>
    <i>
      <x v="388"/>
    </i>
    <i>
      <x v="479"/>
    </i>
    <i>
      <x v="292"/>
    </i>
    <i>
      <x v="896"/>
    </i>
    <i>
      <x v="428"/>
    </i>
    <i>
      <x v="358"/>
    </i>
    <i>
      <x v="253"/>
    </i>
    <i>
      <x v="793"/>
    </i>
    <i>
      <x v="766"/>
    </i>
    <i>
      <x v="393"/>
    </i>
    <i>
      <x v="600"/>
    </i>
    <i>
      <x v="100"/>
    </i>
    <i>
      <x v="172"/>
    </i>
    <i>
      <x v="911"/>
    </i>
    <i>
      <x v="730"/>
    </i>
    <i>
      <x v="682"/>
    </i>
    <i>
      <x v="776"/>
    </i>
    <i>
      <x v="433"/>
    </i>
    <i>
      <x v="382"/>
    </i>
    <i>
      <x v="530"/>
    </i>
    <i>
      <x v="45"/>
    </i>
    <i>
      <x v="421"/>
    </i>
    <i>
      <x v="642"/>
    </i>
    <i>
      <x v="365"/>
    </i>
    <i>
      <x v="155"/>
    </i>
    <i>
      <x v="212"/>
    </i>
    <i>
      <x v="666"/>
    </i>
    <i>
      <x v="847"/>
    </i>
    <i>
      <x v="712"/>
    </i>
    <i>
      <x v="665"/>
    </i>
    <i>
      <x v="854"/>
    </i>
    <i>
      <x v="734"/>
    </i>
    <i>
      <x v="740"/>
    </i>
    <i>
      <x v="578"/>
    </i>
    <i>
      <x v="531"/>
    </i>
    <i>
      <x v="198"/>
    </i>
    <i>
      <x v="877"/>
    </i>
    <i>
      <x v="650"/>
    </i>
    <i>
      <x v="322"/>
    </i>
    <i>
      <x v="540"/>
    </i>
    <i>
      <x v="516"/>
    </i>
    <i>
      <x v="74"/>
    </i>
    <i>
      <x v="197"/>
    </i>
    <i>
      <x v="711"/>
    </i>
    <i>
      <x v="789"/>
    </i>
    <i>
      <x v="316"/>
    </i>
    <i>
      <x v="231"/>
    </i>
    <i>
      <x v="780"/>
    </i>
    <i>
      <x v="595"/>
    </i>
    <i>
      <x v="456"/>
    </i>
    <i>
      <x v="300"/>
    </i>
    <i>
      <x v="699"/>
    </i>
    <i>
      <x v="685"/>
    </i>
    <i>
      <x v="507"/>
    </i>
    <i>
      <x v="419"/>
    </i>
    <i>
      <x v="60"/>
    </i>
    <i>
      <x v="906"/>
    </i>
    <i>
      <x v="88"/>
    </i>
    <i>
      <x v="54"/>
    </i>
    <i>
      <x v="534"/>
    </i>
    <i>
      <x v="863"/>
    </i>
    <i>
      <x v="70"/>
    </i>
    <i>
      <x v="193"/>
    </i>
    <i>
      <x v="889"/>
    </i>
    <i>
      <x v="623"/>
    </i>
    <i>
      <x v="592"/>
    </i>
    <i>
      <x v="105"/>
    </i>
    <i>
      <x v="234"/>
    </i>
    <i>
      <x v="894"/>
    </i>
    <i>
      <x v="774"/>
    </i>
    <i>
      <x v="828"/>
    </i>
    <i>
      <x v="652"/>
    </i>
    <i>
      <x v="160"/>
    </i>
    <i>
      <x v="202"/>
    </i>
    <i>
      <x v="205"/>
    </i>
    <i>
      <x v="726"/>
    </i>
    <i>
      <x v="319"/>
    </i>
    <i>
      <x v="506"/>
    </i>
    <i>
      <x v="497"/>
    </i>
    <i>
      <x v="647"/>
    </i>
    <i>
      <x v="733"/>
    </i>
    <i>
      <x v="500"/>
    </i>
    <i>
      <x v="616"/>
    </i>
    <i>
      <x v="525"/>
    </i>
    <i>
      <x v="594"/>
    </i>
    <i>
      <x v="460"/>
    </i>
    <i>
      <x v="345"/>
    </i>
    <i>
      <x v="259"/>
    </i>
    <i>
      <x v="302"/>
    </i>
    <i>
      <x v="133"/>
    </i>
    <i>
      <x v="245"/>
    </i>
    <i>
      <x v="691"/>
    </i>
    <i>
      <x v="30"/>
    </i>
    <i>
      <x v="755"/>
    </i>
    <i>
      <x v="613"/>
    </i>
    <i>
      <x v="622"/>
    </i>
    <i>
      <x v="563"/>
    </i>
    <i>
      <x v="341"/>
    </i>
    <i>
      <x v="376"/>
    </i>
    <i>
      <x v="36"/>
    </i>
    <i>
      <x v="58"/>
    </i>
    <i>
      <x v="284"/>
    </i>
    <i>
      <x v="662"/>
    </i>
    <i>
      <x v="815"/>
    </i>
    <i>
      <x v="346"/>
    </i>
    <i>
      <x v="425"/>
    </i>
    <i>
      <x v="410"/>
    </i>
    <i>
      <x v="261"/>
    </i>
    <i>
      <x v="676"/>
    </i>
    <i>
      <x v="338"/>
    </i>
    <i>
      <x v="438"/>
    </i>
    <i>
      <x v="899"/>
    </i>
    <i>
      <x v="751"/>
    </i>
    <i>
      <x v="485"/>
    </i>
    <i>
      <x v="115"/>
    </i>
    <i>
      <x v="242"/>
    </i>
    <i>
      <x v="725"/>
    </i>
    <i>
      <x v="526"/>
    </i>
    <i>
      <x v="23"/>
    </i>
    <i>
      <x v="717"/>
    </i>
    <i>
      <x v="855"/>
    </i>
    <i>
      <x v="490"/>
    </i>
    <i>
      <x v="13"/>
    </i>
    <i>
      <x v="555"/>
    </i>
    <i>
      <x v="729"/>
    </i>
    <i>
      <x v="334"/>
    </i>
    <i>
      <x v="47"/>
    </i>
    <i>
      <x v="139"/>
    </i>
    <i>
      <x v="108"/>
    </i>
    <i>
      <x v="78"/>
    </i>
    <i>
      <x v="303"/>
    </i>
    <i>
      <x v="412"/>
    </i>
    <i>
      <x v="564"/>
    </i>
    <i>
      <x v="611"/>
    </i>
    <i>
      <x v="503"/>
    </i>
    <i>
      <x v="614"/>
    </i>
    <i>
      <x v="808"/>
    </i>
    <i>
      <x v="857"/>
    </i>
    <i>
      <x v="527"/>
    </i>
    <i>
      <x v="589"/>
    </i>
    <i>
      <x v="87"/>
    </i>
    <i>
      <x v="330"/>
    </i>
    <i>
      <x v="457"/>
    </i>
    <i>
      <x v="4"/>
    </i>
    <i>
      <x v="890"/>
    </i>
    <i>
      <x v="819"/>
    </i>
    <i>
      <x v="554"/>
    </i>
    <i>
      <x v="836"/>
    </i>
    <i>
      <x v="702"/>
    </i>
    <i>
      <x v="314"/>
    </i>
    <i>
      <x v="350"/>
    </i>
    <i>
      <x v="515"/>
    </i>
    <i>
      <x v="277"/>
    </i>
    <i>
      <x v="280"/>
    </i>
    <i>
      <x v="747"/>
    </i>
    <i>
      <x v="254"/>
    </i>
    <i>
      <x v="119"/>
    </i>
    <i>
      <x v="551"/>
    </i>
    <i>
      <x v="3"/>
    </i>
    <i>
      <x v="344"/>
    </i>
    <i>
      <x v="353"/>
    </i>
    <i>
      <x v="511"/>
    </i>
    <i>
      <x v="186"/>
    </i>
    <i>
      <x v="22"/>
    </i>
    <i>
      <x v="803"/>
    </i>
    <i>
      <x v="835"/>
    </i>
    <i>
      <x v="761"/>
    </i>
    <i>
      <x v="384"/>
    </i>
    <i>
      <x v="336"/>
    </i>
    <i>
      <x v="153"/>
    </i>
    <i>
      <x v="140"/>
    </i>
    <i>
      <x v="656"/>
    </i>
    <i>
      <x v="853"/>
    </i>
    <i>
      <x v="136"/>
    </i>
    <i>
      <x v="670"/>
    </i>
    <i>
      <x v="839"/>
    </i>
    <i>
      <x v="394"/>
    </i>
    <i>
      <x v="370"/>
    </i>
    <i>
      <x v="71"/>
    </i>
    <i>
      <x v="206"/>
    </i>
    <i>
      <x v="325"/>
    </i>
    <i>
      <x v="478"/>
    </i>
    <i>
      <x v="335"/>
    </i>
    <i>
      <x v="596"/>
    </i>
    <i>
      <x v="512"/>
    </i>
    <i>
      <x v="251"/>
    </i>
    <i>
      <x v="171"/>
    </i>
    <i>
      <x v="830"/>
    </i>
    <i>
      <x v="612"/>
    </i>
    <i>
      <x v="744"/>
    </i>
    <i>
      <x v="57"/>
    </i>
    <i>
      <x v="714"/>
    </i>
    <i>
      <x v="809"/>
    </i>
    <i>
      <x v="83"/>
    </i>
    <i>
      <x v="728"/>
    </i>
    <i>
      <x v="502"/>
    </i>
    <i>
      <x v="383"/>
    </i>
    <i>
      <x v="609"/>
    </i>
    <i>
      <x v="64"/>
    </i>
    <i>
      <x v="142"/>
    </i>
    <i>
      <x v="765"/>
    </i>
    <i>
      <x v="566"/>
    </i>
    <i>
      <x v="778"/>
    </i>
    <i>
      <x v="871"/>
    </i>
    <i>
      <x v="524"/>
    </i>
    <i>
      <x v="537"/>
    </i>
    <i>
      <x v="459"/>
    </i>
    <i>
      <x v="523"/>
    </i>
    <i>
      <x v="541"/>
    </i>
    <i>
      <x v="170"/>
    </i>
    <i>
      <x v="131"/>
    </i>
    <i>
      <x v="161"/>
    </i>
    <i>
      <x v="66"/>
    </i>
    <i>
      <x v="864"/>
    </i>
    <i>
      <x v="617"/>
    </i>
    <i>
      <x v="821"/>
    </i>
    <i>
      <x v="476"/>
    </i>
    <i>
      <x v="423"/>
    </i>
    <i>
      <x v="482"/>
    </i>
    <i>
      <x v="448"/>
    </i>
    <i>
      <x v="579"/>
    </i>
    <i>
      <x v="173"/>
    </i>
    <i>
      <x v="829"/>
    </i>
    <i>
      <x v="620"/>
    </i>
    <i>
      <x v="586"/>
    </i>
    <i>
      <x v="15"/>
    </i>
    <i>
      <x v="120"/>
    </i>
    <i>
      <x v="813"/>
    </i>
    <i>
      <x v="705"/>
    </i>
    <i>
      <x v="675"/>
    </i>
    <i>
      <x v="552"/>
    </i>
    <i>
      <x v="220"/>
    </i>
    <i>
      <x v="628"/>
    </i>
    <i>
      <x v="824"/>
    </i>
    <i>
      <x v="321"/>
    </i>
    <i>
      <x v="159"/>
    </i>
    <i>
      <x v="44"/>
    </i>
    <i>
      <x v="825"/>
    </i>
    <i>
      <x v="900"/>
    </i>
    <i>
      <x v="722"/>
    </i>
    <i>
      <x v="349"/>
    </i>
    <i>
      <x v="585"/>
    </i>
    <i>
      <x v="429"/>
    </i>
    <i>
      <x v="101"/>
    </i>
    <i>
      <x v="111"/>
    </i>
    <i>
      <x v="273"/>
    </i>
    <i>
      <x v="37"/>
    </i>
    <i>
      <x v="221"/>
    </i>
    <i>
      <x v="63"/>
    </i>
    <i>
      <x v="635"/>
    </i>
    <i>
      <x v="362"/>
    </i>
    <i>
      <x v="591"/>
    </i>
    <i>
      <x v="408"/>
    </i>
    <i>
      <x v="129"/>
    </i>
    <i>
      <x v="773"/>
    </i>
    <i>
      <x v="845"/>
    </i>
    <i>
      <x v="881"/>
    </i>
    <i>
      <x v="560"/>
    </i>
    <i>
      <x v="42"/>
    </i>
    <i>
      <x v="731"/>
    </i>
    <i>
      <x v="791"/>
    </i>
    <i>
      <x v="749"/>
    </i>
    <i>
      <x v="361"/>
    </i>
    <i>
      <x v="545"/>
    </i>
    <i>
      <x v="46"/>
    </i>
    <i>
      <x v="294"/>
    </i>
    <i>
      <x v="804"/>
    </i>
    <i>
      <x v="865"/>
    </i>
    <i>
      <x v="901"/>
    </i>
    <i>
      <x v="380"/>
    </i>
    <i>
      <x v="509"/>
    </i>
    <i>
      <x v="310"/>
    </i>
    <i>
      <x v="283"/>
    </i>
    <i>
      <x v="224"/>
    </i>
    <i>
      <x v="805"/>
    </i>
    <i>
      <x v="529"/>
    </i>
    <i>
      <x v="308"/>
    </i>
    <i>
      <x v="313"/>
    </i>
    <i>
      <x v="6"/>
    </i>
    <i>
      <x v="266"/>
    </i>
    <i>
      <x v="320"/>
    </i>
    <i>
      <x v="359"/>
    </i>
    <i>
      <x v="584"/>
    </i>
    <i>
      <x v="287"/>
    </i>
    <i>
      <x v="274"/>
    </i>
    <i>
      <x v="167"/>
    </i>
    <i>
      <x v="281"/>
    </i>
    <i>
      <x v="783"/>
    </i>
    <i>
      <x v="827"/>
    </i>
    <i>
      <x v="671"/>
    </i>
    <i>
      <x v="599"/>
    </i>
    <i>
      <x v="708"/>
    </i>
    <i>
      <x v="499"/>
    </i>
    <i>
      <x v="409"/>
    </i>
    <i>
      <x v="306"/>
    </i>
    <i>
      <x v="91"/>
    </i>
    <i>
      <x v="249"/>
    </i>
    <i>
      <x v="299"/>
    </i>
    <i>
      <x v="207"/>
    </i>
    <i>
      <x v="396"/>
    </i>
    <i>
      <x v="686"/>
    </i>
    <i>
      <x v="709"/>
    </i>
    <i>
      <x v="565"/>
    </i>
    <i>
      <x v="180"/>
    </i>
    <i>
      <x v="907"/>
    </i>
    <i>
      <x v="483"/>
    </i>
    <i>
      <x v="664"/>
    </i>
    <i>
      <x v="53"/>
    </i>
    <i>
      <x v="84"/>
    </i>
    <i>
      <x v="630"/>
    </i>
    <i>
      <x v="363"/>
    </i>
    <i>
      <x v="315"/>
    </i>
    <i>
      <x v="713"/>
    </i>
    <i>
      <x v="366"/>
    </i>
    <i>
      <x v="192"/>
    </i>
    <i>
      <x v="95"/>
    </i>
    <i>
      <x v="72"/>
    </i>
    <i>
      <x v="449"/>
    </i>
    <i>
      <x v="324"/>
    </i>
    <i>
      <x v="467"/>
    </i>
    <i>
      <x v="424"/>
    </i>
    <i>
      <x v="451"/>
    </i>
    <i>
      <x v="643"/>
    </i>
    <i>
      <x v="651"/>
    </i>
    <i>
      <x v="862"/>
    </i>
    <i>
      <x v="801"/>
    </i>
    <i>
      <x v="739"/>
    </i>
    <i>
      <x v="466"/>
    </i>
    <i>
      <x v="550"/>
    </i>
    <i>
      <x v="5"/>
    </i>
    <i>
      <x v="16"/>
    </i>
    <i>
      <x v="243"/>
    </i>
    <i>
      <x v="146"/>
    </i>
    <i>
      <x v="888"/>
    </i>
    <i>
      <x v="859"/>
    </i>
    <i>
      <x v="850"/>
    </i>
    <i>
      <x v="846"/>
    </i>
    <i>
      <x v="689"/>
    </i>
    <i>
      <x v="99"/>
    </i>
    <i>
      <x v="217"/>
    </i>
    <i>
      <x v="90"/>
    </i>
    <i>
      <x v="698"/>
    </i>
    <i>
      <x v="822"/>
    </i>
    <i>
      <x v="195"/>
    </i>
    <i>
      <x v="178"/>
    </i>
    <i>
      <x v="597"/>
    </i>
    <i>
      <x v="898"/>
    </i>
    <i>
      <x v="748"/>
    </i>
    <i>
      <x v="481"/>
    </i>
    <i>
      <x v="440"/>
    </i>
    <i>
      <x v="169"/>
    </i>
    <i>
      <x v="885"/>
    </i>
    <i>
      <x v="799"/>
    </i>
    <i>
      <x v="908"/>
    </i>
    <i>
      <x v="891"/>
    </i>
    <i>
      <x v="124"/>
    </i>
    <i>
      <x v="62"/>
    </i>
    <i>
      <x v="18"/>
    </i>
    <i>
      <x v="184"/>
    </i>
    <i>
      <x v="360"/>
    </i>
    <i>
      <x v="235"/>
    </i>
    <i>
      <x v="337"/>
    </i>
    <i>
      <x v="213"/>
    </i>
    <i>
      <x v="123"/>
    </i>
    <i>
      <x v="9"/>
    </i>
    <i>
      <x v="823"/>
    </i>
    <i>
      <x v="431"/>
    </i>
    <i>
      <x v="452"/>
    </i>
    <i>
      <x v="14"/>
    </i>
    <i>
      <x v="625"/>
    </i>
    <i>
      <x v="770"/>
    </i>
    <i>
      <x v="571"/>
    </i>
    <i>
      <x v="426"/>
    </i>
    <i>
      <x v="522"/>
    </i>
    <i>
      <x v="256"/>
    </i>
    <i>
      <x v="340"/>
    </i>
    <i>
      <x v="787"/>
    </i>
    <i>
      <x v="683"/>
    </i>
    <i>
      <x v="109"/>
    </i>
    <i>
      <x v="298"/>
    </i>
    <i>
      <x v="106"/>
    </i>
    <i>
      <x v="902"/>
    </i>
    <i>
      <x v="343"/>
    </i>
    <i>
      <x v="491"/>
    </i>
    <i>
      <x v="11"/>
    </i>
    <i>
      <x v="876"/>
    </i>
    <i>
      <x v="701"/>
    </i>
    <i>
      <x v="817"/>
    </i>
    <i>
      <x v="812"/>
    </i>
    <i>
      <x v="311"/>
    </i>
    <i>
      <x v="304"/>
    </i>
    <i>
      <x v="41"/>
    </i>
    <i>
      <x v="659"/>
    </i>
    <i>
      <x v="488"/>
    </i>
    <i>
      <x v="398"/>
    </i>
    <i>
      <x v="445"/>
    </i>
    <i>
      <x v="443"/>
    </i>
    <i>
      <x v="244"/>
    </i>
    <i>
      <x v="149"/>
    </i>
    <i>
      <x v="260"/>
    </i>
    <i>
      <x v="162"/>
    </i>
    <i>
      <x v="816"/>
    </i>
    <i>
      <x v="718"/>
    </i>
    <i>
      <x v="533"/>
    </i>
    <i>
      <x v="758"/>
    </i>
    <i>
      <x v="632"/>
    </i>
    <i>
      <x v="539"/>
    </i>
    <i>
      <x v="403"/>
    </i>
    <i>
      <x v="200"/>
    </i>
    <i>
      <x v="638"/>
    </i>
    <i>
      <x v="437"/>
    </i>
    <i>
      <x v="501"/>
    </i>
    <i>
      <x v="904"/>
    </i>
    <i>
      <x v="677"/>
    </i>
    <i>
      <x v="873"/>
    </i>
    <i>
      <x v="572"/>
    </i>
    <i>
      <x v="569"/>
    </i>
    <i>
      <x v="472"/>
    </i>
    <i>
      <x v="667"/>
    </i>
    <i>
      <x v="735"/>
    </i>
    <i>
      <x v="800"/>
    </i>
    <i>
      <x v="538"/>
    </i>
    <i>
      <x v="487"/>
    </i>
    <i>
      <x v="342"/>
    </i>
    <i>
      <x v="34"/>
    </i>
    <i>
      <x v="194"/>
    </i>
    <i>
      <x v="795"/>
    </i>
    <i>
      <x v="764"/>
    </i>
    <i>
      <x v="878"/>
    </i>
    <i>
      <x v="723"/>
    </i>
    <i>
      <x v="727"/>
    </i>
    <i>
      <x v="653"/>
    </i>
    <i>
      <x v="806"/>
    </i>
    <i>
      <x v="413"/>
    </i>
    <i>
      <x v="510"/>
    </i>
    <i>
      <x v="442"/>
    </i>
    <i>
      <x v="492"/>
    </i>
    <i>
      <x v="535"/>
    </i>
    <i>
      <x v="114"/>
    </i>
    <i>
      <x v="43"/>
    </i>
    <i>
      <x v="276"/>
    </i>
    <i>
      <x v="210"/>
    </i>
    <i>
      <x v="634"/>
    </i>
    <i>
      <x v="389"/>
    </i>
    <i>
      <x v="547"/>
    </i>
    <i>
      <x v="199"/>
    </i>
    <i>
      <x v="649"/>
    </i>
    <i>
      <x v="742"/>
    </i>
    <i>
      <x v="461"/>
    </i>
    <i>
      <x v="182"/>
    </i>
    <i>
      <x v="301"/>
    </i>
    <i>
      <x v="838"/>
    </i>
    <i>
      <x v="185"/>
    </i>
    <i>
      <x v="290"/>
    </i>
    <i>
      <x v="796"/>
    </i>
    <i>
      <x v="629"/>
    </i>
    <i>
      <x v="741"/>
    </i>
    <i>
      <x v="781"/>
    </i>
    <i>
      <x v="471"/>
    </i>
    <i>
      <x v="282"/>
    </i>
    <i>
      <x v="82"/>
    </i>
    <i>
      <x v="168"/>
    </i>
    <i>
      <x v="270"/>
    </i>
    <i>
      <x v="76"/>
    </i>
    <i>
      <x v="811"/>
    </i>
    <i>
      <x v="25"/>
    </i>
    <i>
      <x v="96"/>
    </i>
    <i>
      <x v="627"/>
    </i>
    <i>
      <x v="818"/>
    </i>
    <i>
      <x v="737"/>
    </i>
    <i>
      <x v="842"/>
    </i>
    <i>
      <x v="746"/>
    </i>
    <i>
      <x v="903"/>
    </i>
    <i>
      <x v="415"/>
    </i>
    <i>
      <x v="568"/>
    </i>
    <i>
      <x v="187"/>
    </i>
    <i>
      <x v="232"/>
    </i>
    <i>
      <x v="720"/>
    </i>
    <i>
      <x v="544"/>
    </i>
    <i>
      <x v="688"/>
    </i>
    <i>
      <x v="411"/>
    </i>
    <i>
      <x v="102"/>
    </i>
    <i>
      <x v="291"/>
    </i>
    <i>
      <x v="246"/>
    </i>
    <i>
      <x v="633"/>
    </i>
    <i>
      <x v="615"/>
    </i>
    <i>
      <x v="474"/>
    </i>
    <i>
      <x v="542"/>
    </i>
    <i>
      <x v="339"/>
    </i>
    <i>
      <x v="69"/>
    </i>
    <i>
      <x v="52"/>
    </i>
    <i>
      <x v="561"/>
    </i>
    <i>
      <x v="264"/>
    </i>
    <i>
      <x v="147"/>
    </i>
    <i>
      <x v="27"/>
    </i>
    <i>
      <x v="868"/>
    </i>
    <i>
      <x v="347"/>
    </i>
    <i>
      <x v="80"/>
    </i>
    <i>
      <x v="179"/>
    </i>
    <i>
      <x v="619"/>
    </i>
    <i>
      <x v="352"/>
    </i>
    <i>
      <x v="258"/>
    </i>
    <i>
      <x v="556"/>
    </i>
    <i>
      <x v="92"/>
    </i>
    <i>
      <x v="710"/>
    </i>
    <i>
      <x v="706"/>
    </i>
    <i>
      <x v="840"/>
    </i>
    <i>
      <x v="644"/>
    </i>
    <i>
      <x v="834"/>
    </i>
    <i>
      <x v="700"/>
    </i>
    <i>
      <x v="763"/>
    </i>
    <i>
      <x v="771"/>
    </i>
    <i>
      <x v="692"/>
    </i>
    <i>
      <x v="753"/>
    </i>
    <i>
      <x v="364"/>
    </i>
    <i>
      <x v="427"/>
    </i>
    <i>
      <x v="377"/>
    </i>
    <i>
      <x v="532"/>
    </i>
    <i>
      <x v="75"/>
    </i>
    <i>
      <x v="65"/>
    </i>
    <i>
      <x v="268"/>
    </i>
    <i>
      <x v="7"/>
    </i>
    <i>
      <x v="21"/>
    </i>
    <i>
      <x v="201"/>
    </i>
    <i>
      <x v="317"/>
    </i>
    <i>
      <x v="32"/>
    </i>
    <i>
      <x v="732"/>
    </i>
    <i>
      <x v="782"/>
    </i>
    <i>
      <x v="367"/>
    </i>
    <i>
      <x v="453"/>
    </i>
    <i>
      <x v="557"/>
    </i>
    <i>
      <x v="680"/>
    </i>
    <i>
      <x v="590"/>
    </i>
    <i>
      <x v="228"/>
    </i>
    <i>
      <x v="97"/>
    </i>
    <i>
      <x v="872"/>
    </i>
    <i>
      <x v="203"/>
    </i>
    <i>
      <x v="794"/>
    </i>
    <i>
      <x v="672"/>
    </i>
    <i>
      <x v="869"/>
    </i>
    <i>
      <x v="892"/>
    </i>
    <i>
      <x v="637"/>
    </i>
    <i>
      <x v="663"/>
    </i>
    <i>
      <x v="351"/>
    </i>
    <i>
      <x v="575"/>
    </i>
    <i>
      <x v="275"/>
    </i>
    <i>
      <x v="59"/>
    </i>
    <i>
      <x v="416"/>
    </i>
    <i>
      <x v="754"/>
    </i>
    <i>
      <x v="849"/>
    </i>
    <i>
      <x v="895"/>
    </i>
    <i>
      <x v="418"/>
    </i>
    <i>
      <x v="399"/>
    </i>
    <i>
      <x v="536"/>
    </i>
    <i>
      <x v="395"/>
    </i>
    <i>
      <x v="355"/>
    </i>
    <i>
      <x v="494"/>
    </i>
    <i>
      <x v="121"/>
    </i>
    <i>
      <x v="113"/>
    </i>
    <i>
      <x v="85"/>
    </i>
    <i>
      <x v="703"/>
    </i>
    <i>
      <x v="441"/>
    </i>
    <i>
      <x v="89"/>
    </i>
    <i>
      <x v="684"/>
    </i>
    <i>
      <x v="219"/>
    </i>
    <i>
      <x v="807"/>
    </i>
    <i>
      <x v="469"/>
    </i>
    <i>
      <x v="318"/>
    </i>
    <i>
      <x v="118"/>
    </i>
    <i>
      <x v="31"/>
    </i>
    <i>
      <x v="214"/>
    </i>
    <i>
      <x v="606"/>
    </i>
    <i>
      <x v="495"/>
    </i>
    <i>
      <x v="468"/>
    </i>
    <i>
      <x v="576"/>
    </i>
    <i>
      <x v="348"/>
    </i>
    <i>
      <x v="1"/>
    </i>
    <i>
      <x v="286"/>
    </i>
    <i>
      <x v="230"/>
    </i>
    <i>
      <x v="141"/>
    </i>
    <i>
      <x v="247"/>
    </i>
    <i>
      <x v="784"/>
    </i>
    <i>
      <x v="897"/>
    </i>
    <i>
      <x v="414"/>
    </i>
    <i>
      <x v="430"/>
    </i>
    <i>
      <x v="143"/>
    </i>
    <i>
      <x v="104"/>
    </i>
    <i>
      <x v="132"/>
    </i>
    <i>
      <x v="707"/>
    </i>
    <i>
      <x v="587"/>
    </i>
    <i>
      <x v="278"/>
    </i>
    <i>
      <x v="24"/>
    </i>
    <i>
      <x v="498"/>
    </i>
    <i>
      <x v="582"/>
    </i>
    <i>
      <x v="103"/>
    </i>
    <i>
      <x v="150"/>
    </i>
    <i>
      <x v="68"/>
    </i>
    <i>
      <x v="681"/>
    </i>
    <i>
      <x v="436"/>
    </i>
    <i>
      <x v="432"/>
    </i>
    <i>
      <x v="35"/>
    </i>
    <i>
      <x v="166"/>
    </i>
    <i>
      <x v="867"/>
    </i>
    <i>
      <x v="81"/>
    </i>
    <i>
      <x v="211"/>
    </i>
    <i>
      <x v="648"/>
    </i>
    <i>
      <x v="305"/>
    </i>
    <i>
      <x v="480"/>
    </i>
    <i>
      <x v="858"/>
    </i>
    <i>
      <x v="331"/>
    </i>
    <i>
      <x v="420"/>
    </i>
    <i>
      <x v="513"/>
    </i>
    <i>
      <x v="446"/>
    </i>
    <i>
      <x v="553"/>
    </i>
    <i>
      <x v="122"/>
    </i>
    <i>
      <x v="26"/>
    </i>
    <i>
      <x v="687"/>
    </i>
    <i>
      <x v="570"/>
    </i>
    <i>
      <x v="738"/>
    </i>
    <i>
      <x v="779"/>
    </i>
    <i>
      <x v="405"/>
    </i>
    <i>
      <x v="174"/>
    </i>
    <i>
      <x v="837"/>
    </i>
    <i>
      <x v="385"/>
    </i>
    <i>
      <x v="127"/>
    </i>
    <i>
      <x v="641"/>
    </i>
    <i>
      <x v="505"/>
    </i>
    <i>
      <x v="116"/>
    </i>
    <i>
      <x v="137"/>
    </i>
    <i>
      <x v="716"/>
    </i>
    <i>
      <x v="447"/>
    </i>
    <i>
      <x v="135"/>
    </i>
    <i>
      <x v="38"/>
    </i>
    <i>
      <x v="660"/>
    </i>
    <i>
      <x v="368"/>
    </i>
    <i>
      <x v="588"/>
    </i>
    <i>
      <x v="558"/>
    </i>
    <i>
      <x v="269"/>
    </i>
    <i>
      <x v="640"/>
    </i>
    <i>
      <x v="905"/>
    </i>
    <i>
      <x v="657"/>
    </i>
    <i>
      <x v="844"/>
    </i>
    <i>
      <x v="790"/>
    </i>
    <i>
      <x v="810"/>
    </i>
    <i>
      <x v="678"/>
    </i>
    <i>
      <x v="605"/>
    </i>
    <i>
      <x v="94"/>
    </i>
    <i>
      <x v="661"/>
    </i>
    <i>
      <x v="624"/>
    </i>
    <i>
      <x v="369"/>
    </i>
    <i>
      <x v="183"/>
    </i>
    <i>
      <x v="148"/>
    </i>
    <i>
      <x v="257"/>
    </i>
    <i>
      <x v="215"/>
    </i>
    <i>
      <x v="626"/>
    </i>
    <i>
      <x v="548"/>
    </i>
    <i>
      <x v="797"/>
    </i>
    <i>
      <x v="434"/>
    </i>
    <i>
      <x v="444"/>
    </i>
    <i>
      <x v="508"/>
    </i>
    <i>
      <x/>
    </i>
    <i>
      <x v="912"/>
    </i>
    <i>
      <x v="756"/>
    </i>
    <i>
      <x v="798"/>
    </i>
    <i>
      <x v="875"/>
    </i>
    <i>
      <x v="802"/>
    </i>
    <i>
      <x v="514"/>
    </i>
    <i>
      <x v="562"/>
    </i>
    <i>
      <x v="49"/>
    </i>
    <i>
      <x v="33"/>
    </i>
    <i>
      <x v="177"/>
    </i>
    <i>
      <x v="225"/>
    </i>
    <i>
      <x v="777"/>
    </i>
    <i>
      <x v="848"/>
    </i>
    <i>
      <x v="593"/>
    </i>
    <i>
      <x v="567"/>
    </i>
    <i>
      <x v="520"/>
    </i>
    <i>
      <x v="227"/>
    </i>
    <i>
      <x v="157"/>
    </i>
    <i>
      <x v="861"/>
    </i>
    <i>
      <x v="574"/>
    </i>
    <i>
      <x v="493"/>
    </i>
    <i>
      <x v="373"/>
    </i>
    <i>
      <x v="454"/>
    </i>
    <i>
      <x v="156"/>
    </i>
    <i>
      <x v="2"/>
    </i>
    <i>
      <x v="236"/>
    </i>
    <i>
      <x v="874"/>
    </i>
    <i>
      <x v="618"/>
    </i>
    <i>
      <x v="697"/>
    </i>
    <i>
      <x v="752"/>
    </i>
    <i>
      <x v="693"/>
    </i>
    <i>
      <x v="833"/>
    </i>
    <i>
      <x v="880"/>
    </i>
    <i>
      <x v="489"/>
    </i>
    <i>
      <x v="326"/>
    </i>
    <i>
      <x v="158"/>
    </i>
    <i>
      <x v="295"/>
    </i>
    <i>
      <x v="61"/>
    </i>
    <i>
      <x v="77"/>
    </i>
    <i>
      <x v="110"/>
    </i>
    <i>
      <x v="145"/>
    </i>
    <i>
      <x v="884"/>
    </i>
    <i>
      <x v="573"/>
    </i>
    <i>
      <x v="323"/>
    </i>
    <i>
      <x v="549"/>
    </i>
    <i>
      <x v="79"/>
    </i>
    <i>
      <x v="191"/>
    </i>
    <i>
      <x v="296"/>
    </i>
    <i>
      <x v="704"/>
    </i>
    <i>
      <x v="93"/>
    </i>
    <i>
      <x v="196"/>
    </i>
    <i>
      <x v="882"/>
    </i>
    <i>
      <x v="694"/>
    </i>
    <i>
      <x v="843"/>
    </i>
    <i>
      <x v="658"/>
    </i>
    <i>
      <x v="309"/>
    </i>
    <i>
      <x v="607"/>
    </i>
    <i>
      <x v="332"/>
    </i>
    <i>
      <x v="19"/>
    </i>
    <i>
      <x v="50"/>
    </i>
    <i>
      <x v="750"/>
    </i>
    <i>
      <x v="886"/>
    </i>
    <i>
      <x v="645"/>
    </i>
    <i>
      <x v="743"/>
    </i>
    <i>
      <x v="866"/>
    </i>
    <i>
      <x v="621"/>
    </i>
    <i>
      <x v="870"/>
    </i>
    <i>
      <x v="736"/>
    </i>
    <i>
      <x v="392"/>
    </i>
    <i>
      <x v="400"/>
    </i>
    <i>
      <x v="473"/>
    </i>
    <i>
      <x v="422"/>
    </i>
    <i>
      <x v="374"/>
    </i>
    <i>
      <x v="165"/>
    </i>
    <i>
      <x v="760"/>
    </i>
    <i>
      <x v="602"/>
    </i>
    <i>
      <x v="601"/>
    </i>
    <i>
      <x v="151"/>
    </i>
    <i>
      <x v="56"/>
    </i>
    <i>
      <x v="229"/>
    </i>
    <i>
      <x v="39"/>
    </i>
    <i>
      <x v="860"/>
    </i>
    <i>
      <x v="603"/>
    </i>
    <i>
      <x v="134"/>
    </i>
    <i>
      <x v="67"/>
    </i>
    <i>
      <x v="772"/>
    </i>
    <i>
      <x v="851"/>
    </i>
    <i>
      <x v="856"/>
    </i>
    <i>
      <x v="455"/>
    </i>
    <i>
      <x v="386"/>
    </i>
    <i>
      <x v="521"/>
    </i>
    <i>
      <x v="792"/>
    </i>
    <i>
      <x v="598"/>
    </i>
    <i>
      <x v="209"/>
    </i>
    <i>
      <x v="271"/>
    </i>
    <i>
      <x v="841"/>
    </i>
    <i>
      <x v="757"/>
    </i>
    <i>
      <x v="759"/>
    </i>
    <i>
      <x v="407"/>
    </i>
    <i>
      <x v="604"/>
    </i>
    <i>
      <x v="391"/>
    </i>
    <i>
      <x v="910"/>
    </i>
    <i>
      <x v="768"/>
    </i>
    <i>
      <x v="404"/>
    </i>
    <i t="grand">
      <x/>
    </i>
  </rowItems>
  <colItems count="1">
    <i/>
  </colItems>
  <dataFields count="1">
    <dataField name="Total Sales" fld="1" baseField="0" baseItem="0"/>
  </dataField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pivotHierarchy dragToData="1"/>
    <pivotHierarchy dragToData="1"/>
    <pivotHierarchy dragToData="1"/>
    <pivotHierarchy dragToData="1"/>
  </pivotHierarchies>
  <pivotTableStyleInfo name="PivotStyleLight14"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7E59F4-B5A7-4927-BC03-52DC6E0F80E6}" name="PivotTable8" cacheId="45" applyNumberFormats="0" applyBorderFormats="0" applyFontFormats="0" applyPatternFormats="0" applyAlignmentFormats="0" applyWidthHeightFormats="1" dataCaption="Values" tag="2cbafc6a-c7c3-4811-a3e6-bdab0fcc2f96" updatedVersion="7" minRefreshableVersion="3" useAutoFormatting="1" subtotalHiddenItems="1" itemPrintTitles="1" createdVersion="7" indent="0" outline="1" outlineData="1" multipleFieldFilters="0" rowHeaderCaption="Coffee Type">
  <location ref="B19:C24"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st of Good Sold" fld="1" baseField="0" baseItem="0" numFmtId="43"/>
  </dataFields>
  <formats count="1">
    <format dxfId="2">
      <pivotArea outline="0" collapsedLevelsAreSubtotals="1" fieldPosition="0"/>
    </format>
  </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caption="Total Profit"/>
    <pivotHierarchy dragToData="1" caption="COGS"/>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43D3F93-7699-4003-B809-DC3D5F01A54E}" name="PivotTable3" cacheId="51" applyNumberFormats="0" applyBorderFormats="0" applyFontFormats="0" applyPatternFormats="0" applyAlignmentFormats="0" applyWidthHeightFormats="1" dataCaption="Values" tag="60edd41c-5073-4557-80e3-80b56cded604" updatedVersion="7" minRefreshableVersion="3" useAutoFormatting="1" subtotalHiddenItems="1" itemPrintTitles="1" createdVersion="7" indent="0" outline="1" outlineData="1" multipleFieldFilters="0" rowHeaderCaption="Country">
  <location ref="J3:K7"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Total Sales" fld="0" baseField="0" baseItem="0"/>
  </dataFields>
  <formats count="1">
    <format dxfId="3">
      <pivotArea collapsedLevelsAreSubtotals="1" fieldPosition="0">
        <references count="1">
          <reference field="1" count="0"/>
        </references>
      </pivotArea>
    </format>
  </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60C9D62-FAEB-42A9-B07D-10A44053B8A9}" name="PivotTable2" cacheId="42" applyNumberFormats="0" applyBorderFormats="0" applyFontFormats="0" applyPatternFormats="0" applyAlignmentFormats="0" applyWidthHeightFormats="1" dataCaption="Values" tag="089e88d3-102a-47cc-8b37-301a02b02daf" updatedVersion="7" minRefreshableVersion="3" useAutoFormatting="1" subtotalHiddenItems="1" itemPrintTitles="1" createdVersion="7" indent="0" outline="1" outlineData="1" multipleFieldFilters="0" chartFormat="3" rowHeaderCaption="Coffee Type">
  <location ref="B3:C8" firstHeaderRow="1" firstDataRow="1" firstDataCol="1"/>
  <pivotFields count="3">
    <pivotField dataField="1" subtotalTop="0" showAll="0" defaultSubtotal="0"/>
    <pivotField axis="axisRow" allDrilled="1" subtotalTop="0" showAll="0" dataSourceSort="1" defaultSubtotal="0" defaultAttributeDrillState="1">
      <items count="4">
        <item s="1" x="0"/>
        <item s="1" x="1"/>
        <item s="1" x="2"/>
        <item s="1"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Total Sales" fld="0" baseField="0" baseItem="0"/>
  </dataFields>
  <formats count="1">
    <format dxfId="4">
      <pivotArea collapsedLevelsAreSubtotals="1" fieldPosition="0">
        <references count="1">
          <reference field="1"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8630005-C4C8-4D35-AE6D-ADD3C2D59B62}" name="PivotTable7" cacheId="39" applyNumberFormats="0" applyBorderFormats="0" applyFontFormats="0" applyPatternFormats="0" applyAlignmentFormats="0" applyWidthHeightFormats="1" dataCaption="Values" tag="ea168d5b-55f5-46d3-adcc-c5e4768e0abd" updatedVersion="7" minRefreshableVersion="3" useAutoFormatting="1" subtotalHiddenItems="1" itemPrintTitles="1" createdVersion="7" indent="0" outline="1" outlineData="1" multipleFieldFilters="0" rowHeaderCaption="Cofee Type">
  <location ref="B11:C1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Total Profit" fld="0" baseField="0" baseItem="0" numFmtId="43"/>
  </dataFields>
  <formats count="1">
    <format dxfId="5">
      <pivotArea outline="0" collapsedLevelsAreSubtotals="1" fieldPosition="0">
        <references count="1">
          <reference field="4294967294" count="1" selected="0">
            <x v="0"/>
          </reference>
        </references>
      </pivotArea>
    </format>
  </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caption="Total Profit"/>
    <pivotHierarchy dragToData="1" caption="COGS"/>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C324E78-AE1C-449A-8BC8-AECC35727A6C}" name="PivotTable6" cacheId="57" applyNumberFormats="0" applyBorderFormats="0" applyFontFormats="0" applyPatternFormats="0" applyAlignmentFormats="0" applyWidthHeightFormats="1" dataCaption="Values" tag="e90c3173-00f0-4760-9a85-871fe415cf9b" updatedVersion="7" minRefreshableVersion="3" useAutoFormatting="1" subtotalHiddenItems="1" itemPrintTitles="1" createdVersion="7" indent="0" outline="1" outlineData="1" multipleFieldFilters="0" rowHeaderCaption="Country">
  <location ref="Z3:AB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Total Sales" fld="0" baseField="0" baseItem="0" numFmtId="43"/>
    <dataField name="Total Profit" fld="1" baseField="0" baseItem="0" numFmtId="43"/>
    <dataField name="COGS" fld="2" baseField="0" baseItem="0" numFmtId="43"/>
  </dataFields>
  <formats count="4">
    <format dxfId="9">
      <pivotArea dataOnly="0" labelOnly="1" outline="0" fieldPosition="0">
        <references count="1">
          <reference field="4294967294" count="1">
            <x v="2"/>
          </reference>
        </references>
      </pivotArea>
    </format>
    <format dxfId="8">
      <pivotArea outline="0" collapsedLevelsAreSubtotals="1" fieldPosition="0">
        <references count="1">
          <reference field="4294967294" count="1" selected="0">
            <x v="2"/>
          </reference>
        </references>
      </pivotArea>
    </format>
    <format dxfId="7">
      <pivotArea outline="0" collapsedLevelsAreSubtotals="1" fieldPosition="0">
        <references count="1">
          <reference field="4294967294" count="1" selected="0">
            <x v="0"/>
          </reference>
        </references>
      </pivotArea>
    </format>
    <format dxfId="6">
      <pivotArea outline="0" collapsedLevelsAreSubtotals="1" fieldPosition="0">
        <references count="1">
          <reference field="4294967294" count="1" selected="0">
            <x v="1"/>
          </reference>
        </references>
      </pivotArea>
    </format>
  </formats>
  <pivotHierarchies count="4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caption="Total Profit"/>
    <pivotHierarchy dragToData="1" caption="COGS"/>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10E03C4-0DF3-4FB2-BCFB-87E3E7B9E0A2}" sourceName="[Date].[Year]">
  <pivotTables>
    <pivotTable tabId="1" name="PivotTable7"/>
    <pivotTable tabId="1" name="PivotTable2"/>
    <pivotTable tabId="1" name="PivotTable8"/>
    <pivotTable tabId="1" name="PivotTable5"/>
    <pivotTable tabId="1" name="PivotTable3"/>
    <pivotTable tabId="1" name="PivotTable4"/>
    <pivotTable tabId="1" name="PivotTable6"/>
    <pivotTable tabId="1" name="PivotTable9"/>
    <pivotTable tabId="1" name="PivotTable10"/>
  </pivotTables>
  <data>
    <olap pivotCacheId="1301267993">
      <levels count="2">
        <level uniqueName="[Date].[Year].[(All)]" sourceCaption="(All)" count="0"/>
        <level uniqueName="[Date].[Year].[Year]" sourceCaption="Year" count="5">
          <ranges>
            <range startItem="0">
              <i n="[Date].[Year].&amp;[2019]" c="2019"/>
              <i n="[Date].[Year].&amp;[2020]" c="2020"/>
              <i n="[Date].[Year].&amp;[2021]" c="2021"/>
              <i n="[Date].[Year].&amp;[2022]" c="2022"/>
              <i n="[Date].[Year].&amp;" c="(blank)" nd="1"/>
            </range>
          </ranges>
        </level>
      </levels>
      <selections count="1">
        <selection n="[Date].[Year].[All]"/>
      </selections>
    </olap>
  </data>
  <extLst>
    <x:ext xmlns:x15="http://schemas.microsoft.com/office/spreadsheetml/2010/11/main" uri="{470722E0-AACD-4C17-9CDC-17EF765DBC7E}">
      <x15:slicerCacheHideItemsWithNoData count="1">
        <x15:slicerCacheOlapLevelName uniqueName="[Date].[Year].[Year]"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25B2DA0-2EF8-4F10-A4B1-E4665D419758}" cache="Slicer_Year" caption="Year" columnCount="4" level="1" style="SlicerStyleLight6"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C472A-7829-49B1-ACA5-B9256EA2454A}">
  <dimension ref="B3:AB917"/>
  <sheetViews>
    <sheetView topLeftCell="L1" workbookViewId="0">
      <selection activeCell="M10" sqref="M10"/>
    </sheetView>
  </sheetViews>
  <sheetFormatPr defaultRowHeight="15" x14ac:dyDescent="0.25"/>
  <cols>
    <col min="2" max="2" width="14" bestFit="1" customWidth="1"/>
    <col min="3" max="3" width="12.140625" bestFit="1" customWidth="1"/>
    <col min="4" max="4" width="12.5703125" bestFit="1" customWidth="1"/>
    <col min="5" max="5" width="16.85546875" bestFit="1" customWidth="1"/>
    <col min="6" max="6" width="12.85546875" bestFit="1" customWidth="1"/>
    <col min="7" max="7" width="15.5703125" bestFit="1" customWidth="1"/>
    <col min="10" max="10" width="15.42578125" bestFit="1" customWidth="1"/>
    <col min="11" max="11" width="10.5703125" bestFit="1" customWidth="1"/>
    <col min="12" max="12" width="10.42578125" customWidth="1"/>
    <col min="13" max="13" width="15.42578125" bestFit="1" customWidth="1"/>
    <col min="14" max="14" width="20" bestFit="1" customWidth="1"/>
    <col min="15" max="15" width="18.85546875" bestFit="1" customWidth="1"/>
    <col min="17" max="17" width="23.7109375" bestFit="1" customWidth="1"/>
    <col min="18" max="18" width="10.42578125" bestFit="1" customWidth="1"/>
    <col min="20" max="20" width="15.140625" bestFit="1" customWidth="1"/>
    <col min="22" max="22" width="10.42578125" bestFit="1" customWidth="1"/>
    <col min="23" max="23" width="11" bestFit="1" customWidth="1"/>
    <col min="26" max="26" width="10.5703125" bestFit="1" customWidth="1"/>
    <col min="27" max="27" width="10.85546875" bestFit="1" customWidth="1"/>
    <col min="28" max="28" width="10.5703125" bestFit="1" customWidth="1"/>
    <col min="30" max="30" width="11.28515625" bestFit="1" customWidth="1"/>
    <col min="31" max="31" width="10.85546875" bestFit="1" customWidth="1"/>
    <col min="32" max="32" width="10.5703125" bestFit="1" customWidth="1"/>
  </cols>
  <sheetData>
    <row r="3" spans="2:28" x14ac:dyDescent="0.25">
      <c r="B3" s="2" t="s">
        <v>933</v>
      </c>
      <c r="C3" t="s">
        <v>934</v>
      </c>
      <c r="D3" t="s">
        <v>928</v>
      </c>
      <c r="F3" s="2" t="s">
        <v>935</v>
      </c>
      <c r="G3" t="s">
        <v>936</v>
      </c>
      <c r="J3" s="2" t="s">
        <v>937</v>
      </c>
      <c r="K3" t="s">
        <v>934</v>
      </c>
      <c r="M3" s="2" t="s">
        <v>937</v>
      </c>
      <c r="N3" t="s">
        <v>945</v>
      </c>
      <c r="O3" t="s">
        <v>928</v>
      </c>
      <c r="Q3" s="2" t="s">
        <v>938</v>
      </c>
      <c r="R3" t="s">
        <v>934</v>
      </c>
      <c r="T3" t="s">
        <v>925</v>
      </c>
      <c r="U3" t="s">
        <v>926</v>
      </c>
      <c r="V3" t="s">
        <v>947</v>
      </c>
      <c r="W3" t="s">
        <v>928</v>
      </c>
      <c r="Z3" t="s">
        <v>934</v>
      </c>
      <c r="AA3" t="s">
        <v>941</v>
      </c>
      <c r="AB3" s="7" t="s">
        <v>940</v>
      </c>
    </row>
    <row r="4" spans="2:28" x14ac:dyDescent="0.25">
      <c r="B4" s="3" t="s">
        <v>4</v>
      </c>
      <c r="C4" s="4">
        <v>11768.495000000001</v>
      </c>
      <c r="D4" s="6">
        <f>C4/SUM($C$4:$C$7)</f>
        <v>0.26074419529025128</v>
      </c>
      <c r="F4" s="3" t="s">
        <v>930</v>
      </c>
      <c r="G4" s="1">
        <v>13179.315000000011</v>
      </c>
      <c r="J4" s="3" t="s">
        <v>9</v>
      </c>
      <c r="K4" s="4">
        <v>6696.864999999998</v>
      </c>
      <c r="L4" s="4"/>
      <c r="M4" s="3" t="s">
        <v>9</v>
      </c>
      <c r="N4" s="4">
        <v>153</v>
      </c>
      <c r="O4" s="6">
        <f>N4/SUM($N$4:$N$6)</f>
        <v>0.153</v>
      </c>
      <c r="Q4" s="3" t="s">
        <v>40</v>
      </c>
      <c r="R4" s="1">
        <v>317.06999999999994</v>
      </c>
      <c r="T4" t="str">
        <f>Q4</f>
        <v>Allis Wilmore</v>
      </c>
      <c r="U4">
        <f>R4</f>
        <v>317.06999999999994</v>
      </c>
      <c r="V4">
        <f>SUM(U4:U8)</f>
        <v>1472.9099999999999</v>
      </c>
      <c r="W4" s="6">
        <f>V4/V11</f>
        <v>3.3739024268728275E-2</v>
      </c>
      <c r="Z4" s="4">
        <v>45134.255000000063</v>
      </c>
      <c r="AA4" s="4">
        <v>1301.3750500000006</v>
      </c>
      <c r="AB4" s="4">
        <v>43832.87995000001</v>
      </c>
    </row>
    <row r="5" spans="2:28" x14ac:dyDescent="0.25">
      <c r="B5" s="3" t="s">
        <v>5</v>
      </c>
      <c r="C5" s="4">
        <v>12306.439999999999</v>
      </c>
      <c r="D5" s="6">
        <f t="shared" ref="D5:D6" si="0">C5/SUM($C$4:$C$7)</f>
        <v>0.2726629696225184</v>
      </c>
      <c r="F5" s="3" t="s">
        <v>931</v>
      </c>
      <c r="G5" s="1">
        <v>17354.464999999993</v>
      </c>
      <c r="J5" s="3" t="s">
        <v>10</v>
      </c>
      <c r="K5" s="4">
        <v>2798.5049999999997</v>
      </c>
      <c r="L5" s="4"/>
      <c r="M5" s="3" t="s">
        <v>10</v>
      </c>
      <c r="N5" s="4">
        <v>73</v>
      </c>
      <c r="O5" s="6">
        <f t="shared" ref="O5:O6" si="1">N5/SUM($N$4:$N$6)</f>
        <v>7.2999999999999995E-2</v>
      </c>
      <c r="Q5" s="3" t="s">
        <v>137</v>
      </c>
      <c r="R5" s="1">
        <v>307.04499999999996</v>
      </c>
      <c r="T5" t="str">
        <f t="shared" ref="T5:T8" si="2">Q5</f>
        <v>Brenn Dundredge</v>
      </c>
      <c r="U5">
        <f t="shared" ref="U5:U8" si="3">R5</f>
        <v>307.04499999999996</v>
      </c>
    </row>
    <row r="6" spans="2:28" x14ac:dyDescent="0.25">
      <c r="B6" s="3" t="s">
        <v>6</v>
      </c>
      <c r="C6" s="4">
        <v>12054.075000000001</v>
      </c>
      <c r="D6" s="6">
        <f t="shared" si="0"/>
        <v>0.26707154023036389</v>
      </c>
      <c r="F6" s="3" t="s">
        <v>932</v>
      </c>
      <c r="G6" s="1">
        <v>14600.474999999997</v>
      </c>
      <c r="J6" s="3" t="s">
        <v>11</v>
      </c>
      <c r="K6" s="4">
        <v>35638.885000000038</v>
      </c>
      <c r="L6" s="4"/>
      <c r="M6" s="3" t="s">
        <v>11</v>
      </c>
      <c r="N6" s="4">
        <v>774</v>
      </c>
      <c r="O6" s="6">
        <f t="shared" si="1"/>
        <v>0.77400000000000002</v>
      </c>
      <c r="Q6" s="3" t="s">
        <v>843</v>
      </c>
      <c r="R6" s="1">
        <v>289.11</v>
      </c>
      <c r="T6" t="str">
        <f t="shared" si="2"/>
        <v>Terri Farra</v>
      </c>
      <c r="U6">
        <f t="shared" si="3"/>
        <v>289.11</v>
      </c>
    </row>
    <row r="7" spans="2:28" x14ac:dyDescent="0.25">
      <c r="B7" s="3" t="s">
        <v>7</v>
      </c>
      <c r="C7" s="4">
        <v>9005.2450000000008</v>
      </c>
      <c r="D7" s="6">
        <f>C7/SUM($C$4:$C$7)</f>
        <v>0.19952129485686651</v>
      </c>
      <c r="F7" s="3" t="s">
        <v>8</v>
      </c>
      <c r="G7" s="1">
        <v>45134.255000000063</v>
      </c>
      <c r="J7" s="3" t="s">
        <v>8</v>
      </c>
      <c r="K7" s="1">
        <v>45134.255000000063</v>
      </c>
      <c r="L7" s="1"/>
      <c r="M7" s="3" t="s">
        <v>8</v>
      </c>
      <c r="N7" s="1">
        <v>1000</v>
      </c>
      <c r="Q7" s="3" t="s">
        <v>658</v>
      </c>
      <c r="R7" s="1">
        <v>281.67499999999995</v>
      </c>
      <c r="T7" t="str">
        <f t="shared" si="2"/>
        <v>Nealson Cuttler</v>
      </c>
      <c r="U7">
        <f t="shared" si="3"/>
        <v>281.67499999999995</v>
      </c>
    </row>
    <row r="8" spans="2:28" x14ac:dyDescent="0.25">
      <c r="B8" s="3" t="s">
        <v>8</v>
      </c>
      <c r="C8" s="1">
        <v>45134.255000000005</v>
      </c>
      <c r="D8" s="1"/>
      <c r="Q8" s="3" t="s">
        <v>267</v>
      </c>
      <c r="R8" s="1">
        <v>278.01</v>
      </c>
      <c r="T8" t="str">
        <f t="shared" si="2"/>
        <v>Don Flintiff</v>
      </c>
      <c r="U8">
        <f t="shared" si="3"/>
        <v>278.01</v>
      </c>
    </row>
    <row r="9" spans="2:28" x14ac:dyDescent="0.25">
      <c r="M9" s="3" t="s">
        <v>948</v>
      </c>
      <c r="Q9" s="3" t="s">
        <v>249</v>
      </c>
      <c r="R9" s="1">
        <v>251.12499999999997</v>
      </c>
    </row>
    <row r="10" spans="2:28" x14ac:dyDescent="0.25">
      <c r="F10" s="3" t="s">
        <v>944</v>
      </c>
      <c r="M10" s="3" t="s">
        <v>946</v>
      </c>
      <c r="Q10" s="3" t="s">
        <v>138</v>
      </c>
      <c r="R10" s="1">
        <v>246.20999999999998</v>
      </c>
      <c r="T10" t="s">
        <v>927</v>
      </c>
      <c r="U10" t="s">
        <v>926</v>
      </c>
      <c r="V10" t="s">
        <v>929</v>
      </c>
    </row>
    <row r="11" spans="2:28" x14ac:dyDescent="0.25">
      <c r="B11" s="2" t="s">
        <v>943</v>
      </c>
      <c r="C11" t="s">
        <v>941</v>
      </c>
      <c r="D11" t="s">
        <v>928</v>
      </c>
      <c r="Q11" s="3" t="s">
        <v>32</v>
      </c>
      <c r="R11" s="1">
        <v>218.73</v>
      </c>
      <c r="T11" t="str">
        <f>Q9</f>
        <v>Derick Snow</v>
      </c>
      <c r="U11">
        <f>R9</f>
        <v>251.12499999999997</v>
      </c>
      <c r="V11" s="5">
        <f>SUM(U11:U916)</f>
        <v>43655.975000000144</v>
      </c>
    </row>
    <row r="12" spans="2:28" x14ac:dyDescent="0.25">
      <c r="B12" s="3" t="s">
        <v>4</v>
      </c>
      <c r="C12" s="4">
        <v>291.70394999999974</v>
      </c>
      <c r="D12" s="6">
        <f>C12/SUM($C$12:$C$15)</f>
        <v>0.22415056289883525</v>
      </c>
      <c r="L12" s="4"/>
      <c r="N12" s="4"/>
      <c r="Q12" s="3" t="s">
        <v>29</v>
      </c>
      <c r="R12" s="1">
        <v>206.6</v>
      </c>
      <c r="T12" t="str">
        <f t="shared" ref="T12:U12" si="4">Q10</f>
        <v>Brice Romera</v>
      </c>
      <c r="U12">
        <f t="shared" si="4"/>
        <v>246.20999999999998</v>
      </c>
    </row>
    <row r="13" spans="2:28" x14ac:dyDescent="0.25">
      <c r="B13" s="3" t="s">
        <v>5</v>
      </c>
      <c r="C13" s="4">
        <v>388.15424999999971</v>
      </c>
      <c r="D13" s="6">
        <f t="shared" ref="D13:D15" si="5">C13/SUM($C$12:$C$15)</f>
        <v>0.29826470854808523</v>
      </c>
      <c r="L13" s="4"/>
      <c r="N13" s="4"/>
      <c r="Q13" s="3" t="s">
        <v>797</v>
      </c>
      <c r="R13" s="1">
        <v>204.92999999999995</v>
      </c>
      <c r="T13" t="str">
        <f t="shared" ref="T13:U13" si="6">Q11</f>
        <v>Alexa Sizey</v>
      </c>
      <c r="U13">
        <f t="shared" si="6"/>
        <v>218.73</v>
      </c>
    </row>
    <row r="14" spans="2:28" x14ac:dyDescent="0.25">
      <c r="B14" s="3" t="s">
        <v>6</v>
      </c>
      <c r="C14" s="4">
        <v>470.26914999999985</v>
      </c>
      <c r="D14" s="6">
        <f t="shared" si="5"/>
        <v>0.36136327494522047</v>
      </c>
      <c r="L14" s="4"/>
      <c r="N14" s="4"/>
      <c r="Q14" s="3" t="s">
        <v>651</v>
      </c>
      <c r="R14" s="1">
        <v>204.92999999999995</v>
      </c>
      <c r="T14" t="str">
        <f t="shared" ref="T14:U14" si="7">Q12</f>
        <v>Ailey Brash</v>
      </c>
      <c r="U14">
        <f t="shared" si="7"/>
        <v>206.6</v>
      </c>
    </row>
    <row r="15" spans="2:28" x14ac:dyDescent="0.25">
      <c r="B15" s="3" t="s">
        <v>7</v>
      </c>
      <c r="C15" s="4">
        <v>151.24770000000012</v>
      </c>
      <c r="D15" s="6">
        <f t="shared" si="5"/>
        <v>0.116221453607859</v>
      </c>
      <c r="L15" s="1"/>
      <c r="N15" s="1"/>
      <c r="Q15" s="3" t="s">
        <v>838</v>
      </c>
      <c r="R15" s="1">
        <v>204.92999999999995</v>
      </c>
      <c r="T15" t="str">
        <f t="shared" ref="T15:U15" si="8">Q13</f>
        <v>Shelli Keynd</v>
      </c>
      <c r="U15">
        <f t="shared" si="8"/>
        <v>204.92999999999995</v>
      </c>
    </row>
    <row r="16" spans="2:28" x14ac:dyDescent="0.25">
      <c r="B16" s="3" t="s">
        <v>8</v>
      </c>
      <c r="C16" s="4">
        <v>1301.3750500000006</v>
      </c>
      <c r="D16" s="4"/>
      <c r="Q16" s="3" t="s">
        <v>530</v>
      </c>
      <c r="R16" s="1">
        <v>204.92999999999995</v>
      </c>
      <c r="T16" t="str">
        <f t="shared" ref="T16:U16" si="9">Q14</f>
        <v>Nanny Lush</v>
      </c>
      <c r="U16">
        <f t="shared" si="9"/>
        <v>204.92999999999995</v>
      </c>
    </row>
    <row r="17" spans="2:21" x14ac:dyDescent="0.25">
      <c r="Q17" s="3" t="s">
        <v>301</v>
      </c>
      <c r="R17" s="1">
        <v>204.92999999999995</v>
      </c>
      <c r="T17" t="str">
        <f t="shared" ref="T17:U17" si="10">Q15</f>
        <v>Teddi Crowthe</v>
      </c>
      <c r="U17">
        <f t="shared" si="10"/>
        <v>204.92999999999995</v>
      </c>
    </row>
    <row r="18" spans="2:21" x14ac:dyDescent="0.25">
      <c r="Q18" s="3" t="s">
        <v>230</v>
      </c>
      <c r="R18" s="1">
        <v>204.92999999999995</v>
      </c>
      <c r="T18" t="str">
        <f t="shared" ref="T18:U18" si="11">Q16</f>
        <v>Lacee Tanti</v>
      </c>
      <c r="U18">
        <f t="shared" si="11"/>
        <v>204.92999999999995</v>
      </c>
    </row>
    <row r="19" spans="2:21" x14ac:dyDescent="0.25">
      <c r="B19" s="2" t="s">
        <v>933</v>
      </c>
      <c r="C19" t="s">
        <v>942</v>
      </c>
      <c r="D19" t="s">
        <v>928</v>
      </c>
      <c r="Q19" s="3" t="s">
        <v>540</v>
      </c>
      <c r="R19" s="1">
        <v>200.78999999999996</v>
      </c>
      <c r="T19" t="str">
        <f t="shared" ref="T19:U19" si="12">Q17</f>
        <v>Elysee Sketch</v>
      </c>
      <c r="U19">
        <f t="shared" si="12"/>
        <v>204.92999999999995</v>
      </c>
    </row>
    <row r="20" spans="2:21" x14ac:dyDescent="0.25">
      <c r="B20" s="3" t="s">
        <v>4</v>
      </c>
      <c r="C20" s="4">
        <v>11476.79105</v>
      </c>
      <c r="D20" s="6">
        <f>C20/SUM($C$20:$C$23)</f>
        <v>0.26183064090453395</v>
      </c>
      <c r="Q20" s="3" t="s">
        <v>193</v>
      </c>
      <c r="R20" s="1">
        <v>193.63499999999996</v>
      </c>
      <c r="T20" t="str">
        <f t="shared" ref="T20:U20" si="13">Q18</f>
        <v>Daniel Heinonen</v>
      </c>
      <c r="U20">
        <f t="shared" si="13"/>
        <v>204.92999999999995</v>
      </c>
    </row>
    <row r="21" spans="2:21" x14ac:dyDescent="0.25">
      <c r="B21" s="3" t="s">
        <v>5</v>
      </c>
      <c r="C21" s="4">
        <v>11918.285750000005</v>
      </c>
      <c r="D21" s="6">
        <f t="shared" ref="D21:D23" si="14">C21/SUM($C$20:$C$23)</f>
        <v>0.27190286751851905</v>
      </c>
      <c r="Q21" s="3" t="s">
        <v>402</v>
      </c>
      <c r="R21" s="1">
        <v>189.74999999999997</v>
      </c>
      <c r="T21" t="str">
        <f t="shared" ref="T21:U21" si="15">Q19</f>
        <v>Lemuel Rignold</v>
      </c>
      <c r="U21">
        <f t="shared" si="15"/>
        <v>200.78999999999996</v>
      </c>
    </row>
    <row r="22" spans="2:21" x14ac:dyDescent="0.25">
      <c r="B22" s="3" t="s">
        <v>6</v>
      </c>
      <c r="C22" s="4">
        <v>11583.805850000008</v>
      </c>
      <c r="D22" s="6">
        <f t="shared" si="14"/>
        <v>0.26427206843843265</v>
      </c>
      <c r="Q22" s="3" t="s">
        <v>202</v>
      </c>
      <c r="R22" s="1">
        <v>183.66</v>
      </c>
      <c r="T22" t="str">
        <f t="shared" ref="T22:U22" si="16">Q20</f>
        <v>Claudetta Rushe</v>
      </c>
      <c r="U22">
        <f t="shared" si="16"/>
        <v>193.63499999999996</v>
      </c>
    </row>
    <row r="23" spans="2:21" x14ac:dyDescent="0.25">
      <c r="B23" s="3" t="s">
        <v>7</v>
      </c>
      <c r="C23" s="4">
        <v>8853.9972999999991</v>
      </c>
      <c r="D23" s="6">
        <f t="shared" si="14"/>
        <v>0.20199442313851421</v>
      </c>
      <c r="Q23" s="3" t="s">
        <v>774</v>
      </c>
      <c r="R23" s="1">
        <v>182.27499999999998</v>
      </c>
      <c r="T23" t="str">
        <f t="shared" ref="T23:U23" si="17">Q21</f>
        <v>Hatty Dovydenas</v>
      </c>
      <c r="U23">
        <f t="shared" si="17"/>
        <v>189.74999999999997</v>
      </c>
    </row>
    <row r="24" spans="2:21" x14ac:dyDescent="0.25">
      <c r="B24" s="3" t="s">
        <v>8</v>
      </c>
      <c r="C24" s="4">
        <v>43832.87995000001</v>
      </c>
      <c r="D24" s="4"/>
      <c r="Q24" s="3" t="s">
        <v>238</v>
      </c>
      <c r="R24" s="1">
        <v>182.27499999999998</v>
      </c>
      <c r="T24" t="str">
        <f t="shared" ref="T24:U24" si="18">Q22</f>
        <v>Cody Verissimo</v>
      </c>
      <c r="U24">
        <f t="shared" si="18"/>
        <v>183.66</v>
      </c>
    </row>
    <row r="25" spans="2:21" x14ac:dyDescent="0.25">
      <c r="Q25" s="3" t="s">
        <v>832</v>
      </c>
      <c r="R25" s="1">
        <v>178.70999999999998</v>
      </c>
      <c r="T25" t="str">
        <f t="shared" ref="T25:U25" si="19">Q23</f>
        <v>Samuele Ales0</v>
      </c>
      <c r="U25">
        <f t="shared" si="19"/>
        <v>182.27499999999998</v>
      </c>
    </row>
    <row r="26" spans="2:21" x14ac:dyDescent="0.25">
      <c r="Q26" s="3" t="s">
        <v>708</v>
      </c>
      <c r="R26" s="1">
        <v>178.70999999999998</v>
      </c>
      <c r="T26" t="str">
        <f t="shared" ref="T26:U26" si="20">Q24</f>
        <v>Davida Caro</v>
      </c>
      <c r="U26">
        <f t="shared" si="20"/>
        <v>182.27499999999998</v>
      </c>
    </row>
    <row r="27" spans="2:21" x14ac:dyDescent="0.25">
      <c r="B27" s="2" t="s">
        <v>933</v>
      </c>
      <c r="C27" t="s">
        <v>3</v>
      </c>
      <c r="D27" t="s">
        <v>939</v>
      </c>
      <c r="E27" t="s">
        <v>942</v>
      </c>
      <c r="Q27" s="3" t="s">
        <v>622</v>
      </c>
      <c r="R27" s="1">
        <v>178.70999999999998</v>
      </c>
      <c r="T27" t="str">
        <f t="shared" ref="T27:U27" si="21">Q25</f>
        <v>Tallie felip</v>
      </c>
      <c r="U27">
        <f t="shared" si="21"/>
        <v>178.70999999999998</v>
      </c>
    </row>
    <row r="28" spans="2:21" x14ac:dyDescent="0.25">
      <c r="B28" s="3" t="s">
        <v>4</v>
      </c>
      <c r="C28" s="4">
        <v>11768.495000000001</v>
      </c>
      <c r="D28" s="4">
        <v>291.70394999999974</v>
      </c>
      <c r="E28" s="4">
        <v>11476.79105</v>
      </c>
      <c r="Q28" s="3" t="s">
        <v>736</v>
      </c>
      <c r="R28" s="1">
        <v>178.70999999999998</v>
      </c>
      <c r="T28" t="str">
        <f t="shared" ref="T28:U28" si="22">Q26</f>
        <v>Petey Kingsbury</v>
      </c>
      <c r="U28">
        <f t="shared" si="22"/>
        <v>178.70999999999998</v>
      </c>
    </row>
    <row r="29" spans="2:21" x14ac:dyDescent="0.25">
      <c r="B29" s="3" t="s">
        <v>5</v>
      </c>
      <c r="C29" s="4">
        <v>12306.439999999999</v>
      </c>
      <c r="D29" s="4">
        <v>388.15424999999971</v>
      </c>
      <c r="E29" s="4">
        <v>11918.285750000005</v>
      </c>
      <c r="Q29" s="3" t="s">
        <v>341</v>
      </c>
      <c r="R29" s="1">
        <v>178.70999999999998</v>
      </c>
      <c r="T29" t="str">
        <f t="shared" ref="T29:U29" si="23">Q27</f>
        <v>Milty Middis</v>
      </c>
      <c r="U29">
        <f t="shared" si="23"/>
        <v>178.70999999999998</v>
      </c>
    </row>
    <row r="30" spans="2:21" x14ac:dyDescent="0.25">
      <c r="B30" s="3" t="s">
        <v>6</v>
      </c>
      <c r="C30" s="4">
        <v>12054.075000000001</v>
      </c>
      <c r="D30" s="4">
        <v>470.26914999999985</v>
      </c>
      <c r="E30" s="4">
        <v>11583.805850000008</v>
      </c>
      <c r="Q30" s="3" t="s">
        <v>413</v>
      </c>
      <c r="R30" s="1">
        <v>178.70999999999998</v>
      </c>
      <c r="T30" t="str">
        <f t="shared" ref="T30:U30" si="24">Q28</f>
        <v>Redd Simao</v>
      </c>
      <c r="U30">
        <f t="shared" si="24"/>
        <v>178.70999999999998</v>
      </c>
    </row>
    <row r="31" spans="2:21" x14ac:dyDescent="0.25">
      <c r="B31" s="3" t="s">
        <v>7</v>
      </c>
      <c r="C31" s="4">
        <v>9005.2450000000008</v>
      </c>
      <c r="D31" s="4">
        <v>151.24770000000012</v>
      </c>
      <c r="E31" s="4">
        <v>8853.9972999999991</v>
      </c>
      <c r="Q31" s="3" t="s">
        <v>129</v>
      </c>
      <c r="R31" s="1">
        <v>178.70999999999998</v>
      </c>
      <c r="T31" t="str">
        <f t="shared" ref="T31:U31" si="25">Q29</f>
        <v>Francesco Dressel</v>
      </c>
      <c r="U31">
        <f t="shared" si="25"/>
        <v>178.70999999999998</v>
      </c>
    </row>
    <row r="32" spans="2:21" x14ac:dyDescent="0.25">
      <c r="B32" s="3" t="s">
        <v>8</v>
      </c>
      <c r="C32" s="4">
        <v>45134.255000000063</v>
      </c>
      <c r="D32" s="4">
        <v>1301.3750500000006</v>
      </c>
      <c r="E32" s="4">
        <v>43832.87995000001</v>
      </c>
      <c r="Q32" s="3" t="s">
        <v>284</v>
      </c>
      <c r="R32" s="1">
        <v>170.77499999999998</v>
      </c>
      <c r="T32" t="str">
        <f t="shared" ref="T32:U32" si="26">Q30</f>
        <v>Hermann Larvor</v>
      </c>
      <c r="U32">
        <f t="shared" si="26"/>
        <v>178.70999999999998</v>
      </c>
    </row>
    <row r="33" spans="17:21" x14ac:dyDescent="0.25">
      <c r="Q33" s="3" t="s">
        <v>643</v>
      </c>
      <c r="R33" s="1">
        <v>167.67000000000002</v>
      </c>
      <c r="T33" t="str">
        <f t="shared" ref="T33:U33" si="27">Q31</f>
        <v>Bobby Folomkin</v>
      </c>
      <c r="U33">
        <f t="shared" si="27"/>
        <v>178.70999999999998</v>
      </c>
    </row>
    <row r="34" spans="17:21" x14ac:dyDescent="0.25">
      <c r="Q34" s="3" t="s">
        <v>429</v>
      </c>
      <c r="R34" s="1">
        <v>167.67000000000002</v>
      </c>
      <c r="T34" t="str">
        <f t="shared" ref="T34:U34" si="28">Q32</f>
        <v>Duky Phizackerly</v>
      </c>
      <c r="U34">
        <f t="shared" si="28"/>
        <v>170.77499999999998</v>
      </c>
    </row>
    <row r="35" spans="17:21" x14ac:dyDescent="0.25">
      <c r="Q35" s="3" t="s">
        <v>245</v>
      </c>
      <c r="R35" s="1">
        <v>167.67000000000002</v>
      </c>
      <c r="T35" t="str">
        <f t="shared" ref="T35:U35" si="29">Q33</f>
        <v>Murielle Lorinez</v>
      </c>
      <c r="U35">
        <f t="shared" si="29"/>
        <v>167.67000000000002</v>
      </c>
    </row>
    <row r="36" spans="17:21" x14ac:dyDescent="0.25">
      <c r="Q36" s="3" t="s">
        <v>300</v>
      </c>
      <c r="R36" s="1">
        <v>164.90999999999997</v>
      </c>
      <c r="T36" t="str">
        <f t="shared" ref="T36:U36" si="30">Q34</f>
        <v>Ingelbert Hotchkin</v>
      </c>
      <c r="U36">
        <f t="shared" si="30"/>
        <v>167.67000000000002</v>
      </c>
    </row>
    <row r="37" spans="17:21" x14ac:dyDescent="0.25">
      <c r="Q37" s="3" t="s">
        <v>324</v>
      </c>
      <c r="R37" s="1">
        <v>163.71999999999997</v>
      </c>
      <c r="T37" t="str">
        <f t="shared" ref="T37:U37" si="31">Q35</f>
        <v>Demetris Micheli</v>
      </c>
      <c r="U37">
        <f t="shared" si="31"/>
        <v>167.67000000000002</v>
      </c>
    </row>
    <row r="38" spans="17:21" x14ac:dyDescent="0.25">
      <c r="Q38" s="3" t="s">
        <v>451</v>
      </c>
      <c r="R38" s="1">
        <v>162.17499999999998</v>
      </c>
      <c r="T38" t="str">
        <f t="shared" ref="T38:U38" si="32">Q36</f>
        <v>Elvina Angel</v>
      </c>
      <c r="U38">
        <f t="shared" si="32"/>
        <v>164.90999999999997</v>
      </c>
    </row>
    <row r="39" spans="17:21" x14ac:dyDescent="0.25">
      <c r="Q39" s="3" t="s">
        <v>339</v>
      </c>
      <c r="R39" s="1">
        <v>160.4</v>
      </c>
      <c r="T39" t="str">
        <f t="shared" ref="T39:U39" si="33">Q37</f>
        <v>Faunie Brigham</v>
      </c>
      <c r="U39">
        <f t="shared" si="33"/>
        <v>163.71999999999997</v>
      </c>
    </row>
    <row r="40" spans="17:21" x14ac:dyDescent="0.25">
      <c r="Q40" s="3" t="s">
        <v>595</v>
      </c>
      <c r="R40" s="1">
        <v>158.995</v>
      </c>
      <c r="T40" t="str">
        <f t="shared" ref="T40:U40" si="34">Q38</f>
        <v>Janella Millett</v>
      </c>
      <c r="U40">
        <f t="shared" si="34"/>
        <v>162.17499999999998</v>
      </c>
    </row>
    <row r="41" spans="17:21" x14ac:dyDescent="0.25">
      <c r="Q41" s="3" t="s">
        <v>393</v>
      </c>
      <c r="R41" s="1">
        <v>158.12499999999997</v>
      </c>
      <c r="T41" t="str">
        <f t="shared" ref="T41:U41" si="35">Q39</f>
        <v>Flynn Antony</v>
      </c>
      <c r="U41">
        <f t="shared" si="35"/>
        <v>160.4</v>
      </c>
    </row>
    <row r="42" spans="17:21" x14ac:dyDescent="0.25">
      <c r="Q42" s="3" t="s">
        <v>681</v>
      </c>
      <c r="R42" s="1">
        <v>155.24999999999997</v>
      </c>
      <c r="T42" t="str">
        <f t="shared" ref="T42:U42" si="36">Q40</f>
        <v>Marja Urion</v>
      </c>
      <c r="U42">
        <f t="shared" si="36"/>
        <v>158.995</v>
      </c>
    </row>
    <row r="43" spans="17:21" x14ac:dyDescent="0.25">
      <c r="Q43" s="3" t="s">
        <v>620</v>
      </c>
      <c r="R43" s="1">
        <v>155.24999999999997</v>
      </c>
      <c r="T43" t="str">
        <f t="shared" ref="T43:U43" si="37">Q41</f>
        <v>Hall Ranner</v>
      </c>
      <c r="U43">
        <f t="shared" si="37"/>
        <v>158.12499999999997</v>
      </c>
    </row>
    <row r="44" spans="17:21" x14ac:dyDescent="0.25">
      <c r="Q44" s="3" t="s">
        <v>384</v>
      </c>
      <c r="R44" s="1">
        <v>155.24999999999997</v>
      </c>
      <c r="T44" t="str">
        <f t="shared" ref="T44:U44" si="38">Q42</f>
        <v>Norene Magauran</v>
      </c>
      <c r="U44">
        <f t="shared" si="38"/>
        <v>155.24999999999997</v>
      </c>
    </row>
    <row r="45" spans="17:21" x14ac:dyDescent="0.25">
      <c r="Q45" s="3" t="s">
        <v>414</v>
      </c>
      <c r="R45" s="1">
        <v>155.24999999999997</v>
      </c>
      <c r="T45" t="str">
        <f t="shared" ref="T45:U45" si="39">Q43</f>
        <v>Michale Delves</v>
      </c>
      <c r="U45">
        <f t="shared" si="39"/>
        <v>155.24999999999997</v>
      </c>
    </row>
    <row r="46" spans="17:21" x14ac:dyDescent="0.25">
      <c r="Q46" s="3" t="s">
        <v>477</v>
      </c>
      <c r="R46" s="1">
        <v>155.24999999999997</v>
      </c>
      <c r="T46" t="str">
        <f t="shared" ref="T46:U46" si="40">Q44</f>
        <v>Grete Holborn</v>
      </c>
      <c r="U46">
        <f t="shared" si="40"/>
        <v>155.24999999999997</v>
      </c>
    </row>
    <row r="47" spans="17:21" x14ac:dyDescent="0.25">
      <c r="Q47" s="3" t="s">
        <v>201</v>
      </c>
      <c r="R47" s="1">
        <v>155.24999999999997</v>
      </c>
      <c r="T47" t="str">
        <f t="shared" ref="T47:U47" si="41">Q45</f>
        <v>Herta Layne</v>
      </c>
      <c r="U47">
        <f t="shared" si="41"/>
        <v>155.24999999999997</v>
      </c>
    </row>
    <row r="48" spans="17:21" x14ac:dyDescent="0.25">
      <c r="Q48" s="3" t="s">
        <v>309</v>
      </c>
      <c r="R48" s="1">
        <v>155.24999999999997</v>
      </c>
      <c r="T48" t="str">
        <f t="shared" ref="T48:U48" si="42">Q46</f>
        <v>Jodee Caldicott</v>
      </c>
      <c r="U48">
        <f t="shared" si="42"/>
        <v>155.24999999999997</v>
      </c>
    </row>
    <row r="49" spans="17:21" x14ac:dyDescent="0.25">
      <c r="Q49" s="3" t="s">
        <v>864</v>
      </c>
      <c r="R49" s="1">
        <v>153.53499999999997</v>
      </c>
      <c r="T49" t="str">
        <f t="shared" ref="T49:U49" si="43">Q47</f>
        <v>Codi Littrell</v>
      </c>
      <c r="U49">
        <f t="shared" si="43"/>
        <v>155.24999999999997</v>
      </c>
    </row>
    <row r="50" spans="17:21" x14ac:dyDescent="0.25">
      <c r="Q50" s="3" t="s">
        <v>800</v>
      </c>
      <c r="R50" s="1">
        <v>148.92499999999998</v>
      </c>
      <c r="T50" t="str">
        <f t="shared" ref="T50:U50" si="44">Q48</f>
        <v>Enriqueta Ixor</v>
      </c>
      <c r="U50">
        <f t="shared" si="44"/>
        <v>155.24999999999997</v>
      </c>
    </row>
    <row r="51" spans="17:21" x14ac:dyDescent="0.25">
      <c r="Q51" s="3" t="s">
        <v>667</v>
      </c>
      <c r="R51" s="1">
        <v>148.92499999999998</v>
      </c>
      <c r="T51" t="str">
        <f t="shared" ref="T51:U51" si="45">Q49</f>
        <v>Tuckie Mathonnet</v>
      </c>
      <c r="U51">
        <f t="shared" si="45"/>
        <v>153.53499999999997</v>
      </c>
    </row>
    <row r="52" spans="17:21" x14ac:dyDescent="0.25">
      <c r="Q52" s="3" t="s">
        <v>891</v>
      </c>
      <c r="R52" s="1">
        <v>148.92499999999998</v>
      </c>
      <c r="T52" t="str">
        <f t="shared" ref="T52:U52" si="46">Q50</f>
        <v>Shermy Moseby</v>
      </c>
      <c r="U52">
        <f t="shared" si="46"/>
        <v>148.92499999999998</v>
      </c>
    </row>
    <row r="53" spans="17:21" x14ac:dyDescent="0.25">
      <c r="Q53" s="3" t="s">
        <v>691</v>
      </c>
      <c r="R53" s="1">
        <v>148.92499999999998</v>
      </c>
      <c r="T53" t="str">
        <f t="shared" ref="T53:U53" si="47">Q51</f>
        <v>Nickey Youles</v>
      </c>
      <c r="U53">
        <f t="shared" si="47"/>
        <v>148.92499999999998</v>
      </c>
    </row>
    <row r="54" spans="17:21" x14ac:dyDescent="0.25">
      <c r="Q54" s="3" t="s">
        <v>680</v>
      </c>
      <c r="R54" s="1">
        <v>148.92499999999998</v>
      </c>
      <c r="T54" t="str">
        <f t="shared" ref="T54:U54" si="48">Q52</f>
        <v>Wang Powlesland</v>
      </c>
      <c r="U54">
        <f t="shared" si="48"/>
        <v>148.92499999999998</v>
      </c>
    </row>
    <row r="55" spans="17:21" x14ac:dyDescent="0.25">
      <c r="Q55" s="3" t="s">
        <v>383</v>
      </c>
      <c r="R55" s="1">
        <v>148.92499999999998</v>
      </c>
      <c r="T55" t="str">
        <f t="shared" ref="T55:U55" si="49">Q53</f>
        <v>Osbert Robins</v>
      </c>
      <c r="U55">
        <f t="shared" si="49"/>
        <v>148.92499999999998</v>
      </c>
    </row>
    <row r="56" spans="17:21" x14ac:dyDescent="0.25">
      <c r="Q56" s="3" t="s">
        <v>119</v>
      </c>
      <c r="R56" s="1">
        <v>148.92499999999998</v>
      </c>
      <c r="T56" t="str">
        <f t="shared" ref="T56:U56" si="50">Q54</f>
        <v>Noni Furber</v>
      </c>
      <c r="U56">
        <f t="shared" si="50"/>
        <v>148.92499999999998</v>
      </c>
    </row>
    <row r="57" spans="17:21" x14ac:dyDescent="0.25">
      <c r="Q57" s="3" t="s">
        <v>277</v>
      </c>
      <c r="R57" s="1">
        <v>148.92499999999998</v>
      </c>
      <c r="T57" t="str">
        <f t="shared" ref="T57:U57" si="51">Q55</f>
        <v>Gregorius Trengrove</v>
      </c>
      <c r="U57">
        <f t="shared" si="51"/>
        <v>148.92499999999998</v>
      </c>
    </row>
    <row r="58" spans="17:21" x14ac:dyDescent="0.25">
      <c r="Q58" s="3" t="s">
        <v>140</v>
      </c>
      <c r="R58" s="1">
        <v>148.92499999999998</v>
      </c>
      <c r="T58" t="str">
        <f t="shared" ref="T58:U58" si="52">Q56</f>
        <v>Bidget Tremellier</v>
      </c>
      <c r="U58">
        <f t="shared" si="52"/>
        <v>148.92499999999998</v>
      </c>
    </row>
    <row r="59" spans="17:21" x14ac:dyDescent="0.25">
      <c r="Q59" s="3" t="s">
        <v>529</v>
      </c>
      <c r="R59" s="1">
        <v>145.82</v>
      </c>
      <c r="T59" t="str">
        <f t="shared" ref="T59:U59" si="53">Q57</f>
        <v>Dorey Sopper</v>
      </c>
      <c r="U59">
        <f t="shared" si="53"/>
        <v>148.92499999999998</v>
      </c>
    </row>
    <row r="60" spans="17:21" x14ac:dyDescent="0.25">
      <c r="Q60" s="3" t="s">
        <v>498</v>
      </c>
      <c r="R60" s="1">
        <v>145.82</v>
      </c>
      <c r="T60" t="str">
        <f t="shared" ref="T60:U60" si="54">Q58</f>
        <v>Broderick McGilvra</v>
      </c>
      <c r="U60">
        <f t="shared" si="54"/>
        <v>148.92499999999998</v>
      </c>
    </row>
    <row r="61" spans="17:21" x14ac:dyDescent="0.25">
      <c r="Q61" s="3" t="s">
        <v>262</v>
      </c>
      <c r="R61" s="1">
        <v>145.82</v>
      </c>
      <c r="T61" t="str">
        <f t="shared" ref="T61:U61" si="55">Q59</f>
        <v>Lacee Burtenshaw</v>
      </c>
      <c r="U61">
        <f t="shared" si="55"/>
        <v>145.82</v>
      </c>
    </row>
    <row r="62" spans="17:21" x14ac:dyDescent="0.25">
      <c r="Q62" s="3" t="s">
        <v>124</v>
      </c>
      <c r="R62" s="1">
        <v>145.82</v>
      </c>
      <c r="T62" t="str">
        <f t="shared" ref="T62:U62" si="56">Q60</f>
        <v>Karry Flanders</v>
      </c>
      <c r="U62">
        <f t="shared" si="56"/>
        <v>145.82</v>
      </c>
    </row>
    <row r="63" spans="17:21" x14ac:dyDescent="0.25">
      <c r="Q63" s="3" t="s">
        <v>250</v>
      </c>
      <c r="R63" s="1">
        <v>145.82</v>
      </c>
      <c r="T63" t="str">
        <f t="shared" ref="T63:U63" si="57">Q61</f>
        <v>Doll Beauchamp</v>
      </c>
      <c r="U63">
        <f t="shared" si="57"/>
        <v>145.82</v>
      </c>
    </row>
    <row r="64" spans="17:21" x14ac:dyDescent="0.25">
      <c r="Q64" s="3" t="s">
        <v>340</v>
      </c>
      <c r="R64" s="1">
        <v>141.785</v>
      </c>
      <c r="T64" t="str">
        <f t="shared" ref="T64:U64" si="58">Q62</f>
        <v>Bo Kindley</v>
      </c>
      <c r="U64">
        <f t="shared" si="58"/>
        <v>145.82</v>
      </c>
    </row>
    <row r="65" spans="17:21" x14ac:dyDescent="0.25">
      <c r="Q65" s="3" t="s">
        <v>826</v>
      </c>
      <c r="R65" s="1">
        <v>139.72499999999999</v>
      </c>
      <c r="T65" t="str">
        <f t="shared" ref="T65:U65" si="59">Q63</f>
        <v>Derrek Allpress</v>
      </c>
      <c r="U65">
        <f t="shared" si="59"/>
        <v>145.82</v>
      </c>
    </row>
    <row r="66" spans="17:21" x14ac:dyDescent="0.25">
      <c r="Q66" s="3" t="s">
        <v>496</v>
      </c>
      <c r="R66" s="1">
        <v>139.72499999999999</v>
      </c>
      <c r="T66" t="str">
        <f t="shared" ref="T66:U66" si="60">Q64</f>
        <v>Foster Constance</v>
      </c>
      <c r="U66">
        <f t="shared" si="60"/>
        <v>141.785</v>
      </c>
    </row>
    <row r="67" spans="17:21" x14ac:dyDescent="0.25">
      <c r="Q67" s="3" t="s">
        <v>200</v>
      </c>
      <c r="R67" s="1">
        <v>139.72499999999999</v>
      </c>
      <c r="T67" t="str">
        <f t="shared" ref="T67:U67" si="61">Q65</f>
        <v>Stanly Keets</v>
      </c>
      <c r="U67">
        <f t="shared" si="61"/>
        <v>139.72499999999999</v>
      </c>
    </row>
    <row r="68" spans="17:21" x14ac:dyDescent="0.25">
      <c r="Q68" s="3" t="s">
        <v>475</v>
      </c>
      <c r="R68" s="1">
        <v>137.42499999999998</v>
      </c>
      <c r="T68" t="str">
        <f t="shared" ref="T68:U68" si="62">Q66</f>
        <v>Karl Imorts</v>
      </c>
      <c r="U68">
        <f t="shared" si="62"/>
        <v>139.72499999999999</v>
      </c>
    </row>
    <row r="69" spans="17:21" x14ac:dyDescent="0.25">
      <c r="Q69" s="3" t="s">
        <v>489</v>
      </c>
      <c r="R69" s="1">
        <v>137.42499999999998</v>
      </c>
      <c r="T69" t="str">
        <f t="shared" ref="T69:U69" si="63">Q67</f>
        <v>Cobby Cromwell</v>
      </c>
      <c r="U69">
        <f t="shared" si="63"/>
        <v>139.72499999999999</v>
      </c>
    </row>
    <row r="70" spans="17:21" x14ac:dyDescent="0.25">
      <c r="Q70" s="3" t="s">
        <v>702</v>
      </c>
      <c r="R70" s="1">
        <v>137.31</v>
      </c>
      <c r="T70" t="str">
        <f t="shared" ref="T70:U70" si="64">Q68</f>
        <v>Joceline Reddoch</v>
      </c>
      <c r="U70">
        <f t="shared" si="64"/>
        <v>137.42499999999998</v>
      </c>
    </row>
    <row r="71" spans="17:21" x14ac:dyDescent="0.25">
      <c r="Q71" s="3" t="s">
        <v>22</v>
      </c>
      <c r="R71" s="1">
        <v>137.31</v>
      </c>
      <c r="T71" t="str">
        <f t="shared" ref="T71:U71" si="65">Q69</f>
        <v>Kacy Canto</v>
      </c>
      <c r="U71">
        <f t="shared" si="65"/>
        <v>137.42499999999998</v>
      </c>
    </row>
    <row r="72" spans="17:21" x14ac:dyDescent="0.25">
      <c r="Q72" s="3" t="s">
        <v>228</v>
      </c>
      <c r="R72" s="1">
        <v>137.31</v>
      </c>
      <c r="T72" t="str">
        <f t="shared" ref="T72:U72" si="66">Q70</f>
        <v>Paulie Fonzone</v>
      </c>
      <c r="U72">
        <f t="shared" si="66"/>
        <v>137.31</v>
      </c>
    </row>
    <row r="73" spans="17:21" x14ac:dyDescent="0.25">
      <c r="Q73" s="3" t="s">
        <v>787</v>
      </c>
      <c r="R73" s="1">
        <v>136.61999999999998</v>
      </c>
      <c r="T73" t="str">
        <f t="shared" ref="T73:U73" si="67">Q71</f>
        <v>Adora Roubert</v>
      </c>
      <c r="U73">
        <f t="shared" si="67"/>
        <v>137.31</v>
      </c>
    </row>
    <row r="74" spans="17:21" x14ac:dyDescent="0.25">
      <c r="Q74" s="3" t="s">
        <v>487</v>
      </c>
      <c r="R74" s="1">
        <v>136.61999999999998</v>
      </c>
      <c r="T74" t="str">
        <f t="shared" ref="T74:U74" si="68">Q72</f>
        <v>Dalia Eburah</v>
      </c>
      <c r="U74">
        <f t="shared" si="68"/>
        <v>137.31</v>
      </c>
    </row>
    <row r="75" spans="17:21" x14ac:dyDescent="0.25">
      <c r="Q75" s="3" t="s">
        <v>571</v>
      </c>
      <c r="R75" s="1">
        <v>136.61999999999998</v>
      </c>
      <c r="T75" t="str">
        <f t="shared" ref="T75:U75" si="69">Q73</f>
        <v>Shannon List</v>
      </c>
      <c r="U75">
        <f t="shared" si="69"/>
        <v>136.61999999999998</v>
      </c>
    </row>
    <row r="76" spans="17:21" x14ac:dyDescent="0.25">
      <c r="Q76" s="3" t="s">
        <v>516</v>
      </c>
      <c r="R76" s="1">
        <v>135.01</v>
      </c>
      <c r="T76" t="str">
        <f t="shared" ref="T76:U76" si="70">Q74</f>
        <v>Julio Armytage</v>
      </c>
      <c r="U76">
        <f t="shared" si="70"/>
        <v>136.61999999999998</v>
      </c>
    </row>
    <row r="77" spans="17:21" x14ac:dyDescent="0.25">
      <c r="Q77" s="3" t="s">
        <v>589</v>
      </c>
      <c r="R77" s="1">
        <v>133.85999999999999</v>
      </c>
      <c r="T77" t="str">
        <f t="shared" ref="T77:U77" si="71">Q75</f>
        <v>Lyndsey MacManus</v>
      </c>
      <c r="U77">
        <f t="shared" si="71"/>
        <v>136.61999999999998</v>
      </c>
    </row>
    <row r="78" spans="17:21" x14ac:dyDescent="0.25">
      <c r="Q78" s="3" t="s">
        <v>531</v>
      </c>
      <c r="R78" s="1">
        <v>133.85999999999999</v>
      </c>
      <c r="T78" t="str">
        <f t="shared" ref="T78:U78" si="72">Q76</f>
        <v>Kippie Marrison</v>
      </c>
      <c r="U78">
        <f t="shared" si="72"/>
        <v>135.01</v>
      </c>
    </row>
    <row r="79" spans="17:21" x14ac:dyDescent="0.25">
      <c r="Q79" s="3" t="s">
        <v>291</v>
      </c>
      <c r="R79" s="1">
        <v>133.85999999999999</v>
      </c>
      <c r="T79" t="str">
        <f t="shared" ref="T79:U79" si="73">Q77</f>
        <v>Mar McIver</v>
      </c>
      <c r="U79">
        <f t="shared" si="73"/>
        <v>133.85999999999999</v>
      </c>
    </row>
    <row r="80" spans="17:21" x14ac:dyDescent="0.25">
      <c r="Q80" s="3" t="s">
        <v>110</v>
      </c>
      <c r="R80" s="1">
        <v>133.85999999999999</v>
      </c>
      <c r="T80" t="str">
        <f t="shared" ref="T80:U80" si="74">Q78</f>
        <v>Lamond Gheeraert</v>
      </c>
      <c r="U80">
        <f t="shared" si="74"/>
        <v>133.85999999999999</v>
      </c>
    </row>
    <row r="81" spans="17:21" x14ac:dyDescent="0.25">
      <c r="Q81" s="3" t="s">
        <v>52</v>
      </c>
      <c r="R81" s="1">
        <v>129.37499999999997</v>
      </c>
      <c r="T81" t="str">
        <f t="shared" ref="T81:U81" si="75">Q79</f>
        <v>Effie Yurkov</v>
      </c>
      <c r="U81">
        <f t="shared" si="75"/>
        <v>133.85999999999999</v>
      </c>
    </row>
    <row r="82" spans="17:21" x14ac:dyDescent="0.25">
      <c r="Q82" s="3" t="s">
        <v>895</v>
      </c>
      <c r="R82" s="1">
        <v>126.49999999999999</v>
      </c>
      <c r="T82" t="str">
        <f t="shared" ref="T82:U82" si="76">Q80</f>
        <v>Bertine Byrd</v>
      </c>
      <c r="U82">
        <f t="shared" si="76"/>
        <v>133.85999999999999</v>
      </c>
    </row>
    <row r="83" spans="17:21" x14ac:dyDescent="0.25">
      <c r="Q83" s="3" t="s">
        <v>555</v>
      </c>
      <c r="R83" s="1">
        <v>126.49999999999999</v>
      </c>
      <c r="T83" t="str">
        <f t="shared" ref="T83:U83" si="77">Q81</f>
        <v>Anabelle Hutchens</v>
      </c>
      <c r="U83">
        <f t="shared" si="77"/>
        <v>129.37499999999997</v>
      </c>
    </row>
    <row r="84" spans="17:21" x14ac:dyDescent="0.25">
      <c r="Q84" s="3" t="s">
        <v>234</v>
      </c>
      <c r="R84" s="1">
        <v>126.49999999999999</v>
      </c>
      <c r="T84" t="str">
        <f t="shared" ref="T84:U84" si="78">Q82</f>
        <v>Webb Speechly</v>
      </c>
      <c r="U84">
        <f t="shared" si="78"/>
        <v>126.49999999999999</v>
      </c>
    </row>
    <row r="85" spans="17:21" x14ac:dyDescent="0.25">
      <c r="Q85" s="3" t="s">
        <v>779</v>
      </c>
      <c r="R85" s="1">
        <v>123.50999999999999</v>
      </c>
      <c r="T85" t="str">
        <f t="shared" ref="T85:U85" si="79">Q83</f>
        <v>Linus Flippelli</v>
      </c>
      <c r="U85">
        <f t="shared" si="79"/>
        <v>126.49999999999999</v>
      </c>
    </row>
    <row r="86" spans="17:21" x14ac:dyDescent="0.25">
      <c r="Q86" s="3" t="s">
        <v>409</v>
      </c>
      <c r="R86" s="1">
        <v>123.50999999999999</v>
      </c>
      <c r="T86" t="str">
        <f t="shared" ref="T86:U86" si="80">Q84</f>
        <v>Darn Penquet</v>
      </c>
      <c r="U86">
        <f t="shared" si="80"/>
        <v>126.49999999999999</v>
      </c>
    </row>
    <row r="87" spans="17:21" x14ac:dyDescent="0.25">
      <c r="Q87" s="3" t="s">
        <v>391</v>
      </c>
      <c r="R87" s="1">
        <v>123.50999999999999</v>
      </c>
      <c r="T87" t="str">
        <f t="shared" ref="T87:U87" si="81">Q85</f>
        <v>Say Risborough</v>
      </c>
      <c r="U87">
        <f t="shared" si="81"/>
        <v>123.50999999999999</v>
      </c>
    </row>
    <row r="88" spans="17:21" x14ac:dyDescent="0.25">
      <c r="Q88" s="3" t="s">
        <v>474</v>
      </c>
      <c r="R88" s="1">
        <v>120.38499999999999</v>
      </c>
      <c r="T88" t="str">
        <f t="shared" ref="T88:U88" si="82">Q86</f>
        <v>Helli Petroulis</v>
      </c>
      <c r="U88">
        <f t="shared" si="82"/>
        <v>123.50999999999999</v>
      </c>
    </row>
    <row r="89" spans="17:21" x14ac:dyDescent="0.25">
      <c r="Q89" s="3" t="s">
        <v>844</v>
      </c>
      <c r="R89" s="1">
        <v>119.13999999999999</v>
      </c>
      <c r="T89" t="str">
        <f t="shared" ref="T89:U89" si="83">Q87</f>
        <v>Hadley Reuven</v>
      </c>
      <c r="U89">
        <f t="shared" si="83"/>
        <v>123.50999999999999</v>
      </c>
    </row>
    <row r="90" spans="17:21" x14ac:dyDescent="0.25">
      <c r="Q90" s="3" t="s">
        <v>666</v>
      </c>
      <c r="R90" s="1">
        <v>119.13999999999999</v>
      </c>
      <c r="T90" t="str">
        <f t="shared" ref="T90:U90" si="84">Q88</f>
        <v>Jimmy Dymoke</v>
      </c>
      <c r="U90">
        <f t="shared" si="84"/>
        <v>120.38499999999999</v>
      </c>
    </row>
    <row r="91" spans="17:21" x14ac:dyDescent="0.25">
      <c r="Q91" s="3" t="s">
        <v>508</v>
      </c>
      <c r="R91" s="1">
        <v>119.13999999999999</v>
      </c>
      <c r="T91" t="str">
        <f t="shared" ref="T91:U91" si="85">Q89</f>
        <v>Terri Lyford</v>
      </c>
      <c r="U91">
        <f t="shared" si="85"/>
        <v>119.13999999999999</v>
      </c>
    </row>
    <row r="92" spans="17:21" x14ac:dyDescent="0.25">
      <c r="Q92" s="3" t="s">
        <v>482</v>
      </c>
      <c r="R92" s="1">
        <v>119.13999999999999</v>
      </c>
      <c r="T92" t="str">
        <f t="shared" ref="T92:U92" si="86">Q90</f>
        <v>Nickey Dimbleby</v>
      </c>
      <c r="U92">
        <f t="shared" si="86"/>
        <v>119.13999999999999</v>
      </c>
    </row>
    <row r="93" spans="17:21" x14ac:dyDescent="0.25">
      <c r="Q93" s="3" t="s">
        <v>447</v>
      </c>
      <c r="R93" s="1">
        <v>119.13999999999999</v>
      </c>
      <c r="T93" t="str">
        <f t="shared" ref="T93:U93" si="87">Q91</f>
        <v>Ketty Bromehead</v>
      </c>
      <c r="U93">
        <f t="shared" si="87"/>
        <v>119.13999999999999</v>
      </c>
    </row>
    <row r="94" spans="17:21" x14ac:dyDescent="0.25">
      <c r="Q94" s="3" t="s">
        <v>274</v>
      </c>
      <c r="R94" s="1">
        <v>119.13999999999999</v>
      </c>
      <c r="T94" t="str">
        <f t="shared" ref="T94:U94" si="88">Q92</f>
        <v>Jorge Bettison</v>
      </c>
      <c r="U94">
        <f t="shared" si="88"/>
        <v>119.13999999999999</v>
      </c>
    </row>
    <row r="95" spans="17:21" x14ac:dyDescent="0.25">
      <c r="Q95" s="3" t="s">
        <v>98</v>
      </c>
      <c r="R95" s="1">
        <v>119.13999999999999</v>
      </c>
      <c r="T95" t="str">
        <f t="shared" ref="T95:U95" si="89">Q93</f>
        <v>Jaimie Hatz</v>
      </c>
      <c r="U95">
        <f t="shared" si="89"/>
        <v>119.13999999999999</v>
      </c>
    </row>
    <row r="96" spans="17:21" x14ac:dyDescent="0.25">
      <c r="Q96" s="3" t="s">
        <v>63</v>
      </c>
      <c r="R96" s="1">
        <v>119.13999999999999</v>
      </c>
      <c r="T96" t="str">
        <f t="shared" ref="T96:U96" si="90">Q94</f>
        <v>Doralin Baison</v>
      </c>
      <c r="U96">
        <f t="shared" si="90"/>
        <v>119.13999999999999</v>
      </c>
    </row>
    <row r="97" spans="17:21" x14ac:dyDescent="0.25">
      <c r="Q97" s="3" t="s">
        <v>253</v>
      </c>
      <c r="R97" s="1">
        <v>114.85</v>
      </c>
      <c r="T97" t="str">
        <f t="shared" ref="T97:U97" si="91">Q95</f>
        <v>Bear Gaish</v>
      </c>
      <c r="U97">
        <f t="shared" si="91"/>
        <v>119.13999999999999</v>
      </c>
    </row>
    <row r="98" spans="17:21" x14ac:dyDescent="0.25">
      <c r="Q98" s="3" t="s">
        <v>733</v>
      </c>
      <c r="R98" s="1">
        <v>114.42499999999998</v>
      </c>
      <c r="T98" t="str">
        <f t="shared" ref="T98:U98" si="92">Q96</f>
        <v>Annetta Brentnall</v>
      </c>
      <c r="U98">
        <f t="shared" si="92"/>
        <v>119.13999999999999</v>
      </c>
    </row>
    <row r="99" spans="17:21" x14ac:dyDescent="0.25">
      <c r="Q99" s="3" t="s">
        <v>757</v>
      </c>
      <c r="R99" s="1">
        <v>114.42499999999998</v>
      </c>
      <c r="T99" t="str">
        <f t="shared" ref="T99:U99" si="93">Q97</f>
        <v>Devland Gritton</v>
      </c>
      <c r="U99">
        <f t="shared" si="93"/>
        <v>114.85</v>
      </c>
    </row>
    <row r="100" spans="17:21" x14ac:dyDescent="0.25">
      <c r="Q100" s="3" t="s">
        <v>558</v>
      </c>
      <c r="R100" s="1">
        <v>114.42499999999998</v>
      </c>
      <c r="T100" t="str">
        <f t="shared" ref="T100:U100" si="94">Q98</f>
        <v>Read Cutts</v>
      </c>
      <c r="U100">
        <f t="shared" si="94"/>
        <v>114.42499999999998</v>
      </c>
    </row>
    <row r="101" spans="17:21" x14ac:dyDescent="0.25">
      <c r="Q101" s="3" t="s">
        <v>593</v>
      </c>
      <c r="R101" s="1">
        <v>114.42499999999998</v>
      </c>
      <c r="T101" t="str">
        <f t="shared" ref="T101:U101" si="95">Q99</f>
        <v>Romain Avrashin</v>
      </c>
      <c r="U101">
        <f t="shared" si="95"/>
        <v>114.42499999999998</v>
      </c>
    </row>
    <row r="102" spans="17:21" x14ac:dyDescent="0.25">
      <c r="Q102" s="3" t="s">
        <v>476</v>
      </c>
      <c r="R102" s="1">
        <v>114.42499999999998</v>
      </c>
      <c r="T102" t="str">
        <f t="shared" ref="T102:U102" si="96">Q100</f>
        <v>Llywellyn Oscroft</v>
      </c>
      <c r="U102">
        <f t="shared" si="96"/>
        <v>114.42499999999998</v>
      </c>
    </row>
    <row r="103" spans="17:21" x14ac:dyDescent="0.25">
      <c r="Q103" s="3" t="s">
        <v>216</v>
      </c>
      <c r="R103" s="1">
        <v>114.42499999999998</v>
      </c>
      <c r="T103" t="str">
        <f t="shared" ref="T103:U103" si="97">Q101</f>
        <v>Marianna Vedmore</v>
      </c>
      <c r="U103">
        <f t="shared" si="97"/>
        <v>114.42499999999998</v>
      </c>
    </row>
    <row r="104" spans="17:21" x14ac:dyDescent="0.25">
      <c r="Q104" s="3" t="s">
        <v>279</v>
      </c>
      <c r="R104" s="1">
        <v>114.42499999999998</v>
      </c>
      <c r="T104" t="str">
        <f t="shared" ref="T104:U104" si="98">Q102</f>
        <v>Jocko Pray</v>
      </c>
      <c r="U104">
        <f t="shared" si="98"/>
        <v>114.42499999999998</v>
      </c>
    </row>
    <row r="105" spans="17:21" x14ac:dyDescent="0.25">
      <c r="Q105" s="3" t="s">
        <v>164</v>
      </c>
      <c r="R105" s="1">
        <v>114.42499999999998</v>
      </c>
      <c r="T105" t="str">
        <f t="shared" ref="T105:U105" si="99">Q103</f>
        <v>Correy Cottingham</v>
      </c>
      <c r="U105">
        <f t="shared" si="99"/>
        <v>114.42499999999998</v>
      </c>
    </row>
    <row r="106" spans="17:21" x14ac:dyDescent="0.25">
      <c r="Q106" s="3" t="s">
        <v>418</v>
      </c>
      <c r="R106" s="1">
        <v>111.78</v>
      </c>
      <c r="T106" t="str">
        <f t="shared" ref="T106:U106" si="100">Q104</f>
        <v>Dorie de la Tremoille</v>
      </c>
      <c r="U106">
        <f t="shared" si="100"/>
        <v>114.42499999999998</v>
      </c>
    </row>
    <row r="107" spans="17:21" x14ac:dyDescent="0.25">
      <c r="Q107" s="3" t="s">
        <v>235</v>
      </c>
      <c r="R107" s="1">
        <v>111.78</v>
      </c>
      <c r="T107" t="str">
        <f t="shared" ref="T107:U107" si="101">Q105</f>
        <v>Celestia Dolohunty</v>
      </c>
      <c r="U107">
        <f t="shared" si="101"/>
        <v>114.42499999999998</v>
      </c>
    </row>
    <row r="108" spans="17:21" x14ac:dyDescent="0.25">
      <c r="Q108" s="3" t="s">
        <v>264</v>
      </c>
      <c r="R108" s="1">
        <v>111.78</v>
      </c>
      <c r="T108" t="str">
        <f t="shared" ref="T108:U108" si="102">Q106</f>
        <v>Hildegarde Brangan</v>
      </c>
      <c r="U108">
        <f t="shared" si="102"/>
        <v>111.78</v>
      </c>
    </row>
    <row r="109" spans="17:21" x14ac:dyDescent="0.25">
      <c r="Q109" s="3" t="s">
        <v>175</v>
      </c>
      <c r="R109" s="1">
        <v>110.61000000000001</v>
      </c>
      <c r="T109" t="str">
        <f t="shared" ref="T109:U109" si="103">Q107</f>
        <v>Darrin Tingly</v>
      </c>
      <c r="U109">
        <f t="shared" si="103"/>
        <v>111.78</v>
      </c>
    </row>
    <row r="110" spans="17:21" x14ac:dyDescent="0.25">
      <c r="Q110" s="3" t="s">
        <v>24</v>
      </c>
      <c r="R110" s="1">
        <v>110.02500000000001</v>
      </c>
      <c r="T110" t="str">
        <f t="shared" ref="T110:U110" si="104">Q108</f>
        <v>Dolores Duffie</v>
      </c>
      <c r="U110">
        <f t="shared" si="104"/>
        <v>111.78</v>
      </c>
    </row>
    <row r="111" spans="17:21" x14ac:dyDescent="0.25">
      <c r="Q111" s="3" t="s">
        <v>727</v>
      </c>
      <c r="R111" s="1">
        <v>109.93999999999998</v>
      </c>
      <c r="T111" t="str">
        <f t="shared" ref="T111:U111" si="105">Q109</f>
        <v>Charlean Keave</v>
      </c>
      <c r="U111">
        <f t="shared" si="105"/>
        <v>110.61000000000001</v>
      </c>
    </row>
    <row r="112" spans="17:21" x14ac:dyDescent="0.25">
      <c r="Q112" s="3" t="s">
        <v>390</v>
      </c>
      <c r="R112" s="1">
        <v>109.93999999999998</v>
      </c>
      <c r="T112" t="str">
        <f t="shared" ref="T112:U112" si="106">Q110</f>
        <v>Adrian Swaine</v>
      </c>
      <c r="U112">
        <f t="shared" si="106"/>
        <v>110.02500000000001</v>
      </c>
    </row>
    <row r="113" spans="17:21" x14ac:dyDescent="0.25">
      <c r="Q113" s="3" t="s">
        <v>85</v>
      </c>
      <c r="R113" s="1">
        <v>109.93999999999998</v>
      </c>
      <c r="T113" t="str">
        <f t="shared" ref="T113:U113" si="107">Q111</f>
        <v>Randal Longfield</v>
      </c>
      <c r="U113">
        <f t="shared" si="107"/>
        <v>109.93999999999998</v>
      </c>
    </row>
    <row r="114" spans="17:21" x14ac:dyDescent="0.25">
      <c r="Q114" s="3" t="s">
        <v>275</v>
      </c>
      <c r="R114" s="1">
        <v>109.93999999999998</v>
      </c>
      <c r="T114" t="str">
        <f t="shared" ref="T114:U114" si="108">Q112</f>
        <v>Gwenni Ratt</v>
      </c>
      <c r="U114">
        <f t="shared" si="108"/>
        <v>109.93999999999998</v>
      </c>
    </row>
    <row r="115" spans="17:21" x14ac:dyDescent="0.25">
      <c r="Q115" s="3" t="s">
        <v>305</v>
      </c>
      <c r="R115" s="1">
        <v>109.93999999999998</v>
      </c>
      <c r="T115" t="str">
        <f t="shared" ref="T115:U115" si="109">Q113</f>
        <v>Aurelia Burgwin</v>
      </c>
      <c r="U115">
        <f t="shared" si="109"/>
        <v>109.93999999999998</v>
      </c>
    </row>
    <row r="116" spans="17:21" x14ac:dyDescent="0.25">
      <c r="Q116" s="3" t="s">
        <v>798</v>
      </c>
      <c r="R116" s="1">
        <v>109.36499999999999</v>
      </c>
      <c r="T116" t="str">
        <f t="shared" ref="T116:U116" si="110">Q114</f>
        <v>Dorelia Bury</v>
      </c>
      <c r="U116">
        <f t="shared" si="110"/>
        <v>109.93999999999998</v>
      </c>
    </row>
    <row r="117" spans="17:21" x14ac:dyDescent="0.25">
      <c r="Q117" s="3" t="s">
        <v>251</v>
      </c>
      <c r="R117" s="1">
        <v>109.36499999999999</v>
      </c>
      <c r="T117" t="str">
        <f t="shared" ref="T117:U117" si="111">Q115</f>
        <v>Emlynne Heining</v>
      </c>
      <c r="U117">
        <f t="shared" si="111"/>
        <v>109.93999999999998</v>
      </c>
    </row>
    <row r="118" spans="17:21" x14ac:dyDescent="0.25">
      <c r="Q118" s="3" t="s">
        <v>921</v>
      </c>
      <c r="R118" s="1">
        <v>103.49999999999999</v>
      </c>
      <c r="T118" t="str">
        <f t="shared" ref="T118:U118" si="112">Q116</f>
        <v>Sheppard Yann</v>
      </c>
      <c r="U118">
        <f t="shared" si="112"/>
        <v>109.36499999999999</v>
      </c>
    </row>
    <row r="119" spans="17:21" x14ac:dyDescent="0.25">
      <c r="Q119" s="3" t="s">
        <v>345</v>
      </c>
      <c r="R119" s="1">
        <v>103.49999999999999</v>
      </c>
      <c r="T119" t="str">
        <f t="shared" ref="T119:U119" si="113">Q117</f>
        <v>Desdemona Eye</v>
      </c>
      <c r="U119">
        <f t="shared" si="113"/>
        <v>109.36499999999999</v>
      </c>
    </row>
    <row r="120" spans="17:21" x14ac:dyDescent="0.25">
      <c r="Q120" s="3" t="s">
        <v>20</v>
      </c>
      <c r="R120" s="1">
        <v>103.49999999999999</v>
      </c>
      <c r="T120" t="str">
        <f t="shared" ref="T120:U120" si="114">Q118</f>
        <v>Zack Pellett</v>
      </c>
      <c r="U120">
        <f t="shared" si="114"/>
        <v>103.49999999999999</v>
      </c>
    </row>
    <row r="121" spans="17:21" x14ac:dyDescent="0.25">
      <c r="Q121" s="3" t="s">
        <v>41</v>
      </c>
      <c r="R121" s="1">
        <v>103.49999999999999</v>
      </c>
      <c r="T121" t="str">
        <f t="shared" ref="T121:U121" si="115">Q119</f>
        <v>Freda Hollows</v>
      </c>
      <c r="U121">
        <f t="shared" si="115"/>
        <v>103.49999999999999</v>
      </c>
    </row>
    <row r="122" spans="17:21" x14ac:dyDescent="0.25">
      <c r="Q122" s="3" t="s">
        <v>188</v>
      </c>
      <c r="R122" s="1">
        <v>102.92499999999998</v>
      </c>
      <c r="T122" t="str">
        <f t="shared" ref="T122:U122" si="116">Q120</f>
        <v>Adham Greenhead</v>
      </c>
      <c r="U122">
        <f t="shared" si="116"/>
        <v>103.49999999999999</v>
      </c>
    </row>
    <row r="123" spans="17:21" x14ac:dyDescent="0.25">
      <c r="Q123" s="3" t="s">
        <v>399</v>
      </c>
      <c r="R123" s="1">
        <v>102.75999999999999</v>
      </c>
      <c r="T123" t="str">
        <f t="shared" ref="T123:U123" si="117">Q121</f>
        <v>Almeria Burgett</v>
      </c>
      <c r="U123">
        <f t="shared" si="117"/>
        <v>103.49999999999999</v>
      </c>
    </row>
    <row r="124" spans="17:21" x14ac:dyDescent="0.25">
      <c r="Q124" s="3" t="s">
        <v>220</v>
      </c>
      <c r="R124" s="1">
        <v>102.46499999999997</v>
      </c>
      <c r="T124" t="str">
        <f t="shared" ref="T124:U124" si="118">Q122</f>
        <v>Cindra Burling</v>
      </c>
      <c r="U124">
        <f t="shared" si="118"/>
        <v>102.92499999999998</v>
      </c>
    </row>
    <row r="125" spans="17:21" x14ac:dyDescent="0.25">
      <c r="Q125" s="3" t="s">
        <v>297</v>
      </c>
      <c r="R125" s="1">
        <v>102.46499999999997</v>
      </c>
      <c r="T125" t="str">
        <f t="shared" ref="T125:U125" si="119">Q123</f>
        <v>Hartley Mattioli</v>
      </c>
      <c r="U125">
        <f t="shared" si="119"/>
        <v>102.75999999999999</v>
      </c>
    </row>
    <row r="126" spans="17:21" x14ac:dyDescent="0.25">
      <c r="Q126" s="3" t="s">
        <v>462</v>
      </c>
      <c r="R126" s="1">
        <v>101.29499999999999</v>
      </c>
      <c r="T126" t="str">
        <f t="shared" ref="T126:U126" si="120">Q124</f>
        <v>Courtney Pallant</v>
      </c>
      <c r="U126">
        <f t="shared" si="120"/>
        <v>102.46499999999997</v>
      </c>
    </row>
    <row r="127" spans="17:21" x14ac:dyDescent="0.25">
      <c r="Q127" s="3" t="s">
        <v>369</v>
      </c>
      <c r="R127" s="1">
        <v>100.39499999999998</v>
      </c>
      <c r="T127" t="str">
        <f t="shared" ref="T127:U127" si="121">Q125</f>
        <v>Elonore Joliffe</v>
      </c>
      <c r="U127">
        <f t="shared" si="121"/>
        <v>102.46499999999997</v>
      </c>
    </row>
    <row r="128" spans="17:21" x14ac:dyDescent="0.25">
      <c r="Q128" s="3" t="s">
        <v>142</v>
      </c>
      <c r="R128" s="1">
        <v>100.39499999999998</v>
      </c>
      <c r="T128" t="str">
        <f t="shared" ref="T128:U128" si="122">Q126</f>
        <v>Jeffrey Dufaire</v>
      </c>
      <c r="U128">
        <f t="shared" si="122"/>
        <v>101.29499999999999</v>
      </c>
    </row>
    <row r="129" spans="17:21" x14ac:dyDescent="0.25">
      <c r="Q129" s="3" t="s">
        <v>781</v>
      </c>
      <c r="R129" s="1">
        <v>95.1</v>
      </c>
      <c r="T129" t="str">
        <f t="shared" ref="T129:U129" si="123">Q127</f>
        <v>Glory Clemon</v>
      </c>
      <c r="U129">
        <f t="shared" si="123"/>
        <v>100.39499999999998</v>
      </c>
    </row>
    <row r="130" spans="17:21" x14ac:dyDescent="0.25">
      <c r="Q130" s="3" t="s">
        <v>176</v>
      </c>
      <c r="R130" s="1">
        <v>95.1</v>
      </c>
      <c r="T130" t="str">
        <f t="shared" ref="T130:U130" si="124">Q128</f>
        <v>Bunny Naulls</v>
      </c>
      <c r="U130">
        <f t="shared" si="124"/>
        <v>100.39499999999998</v>
      </c>
    </row>
    <row r="131" spans="17:21" x14ac:dyDescent="0.25">
      <c r="Q131" s="3" t="s">
        <v>156</v>
      </c>
      <c r="R131" s="1">
        <v>95.1</v>
      </c>
      <c r="T131" t="str">
        <f t="shared" ref="T131:U131" si="125">Q129</f>
        <v>Sean Lorenzetti</v>
      </c>
      <c r="U131">
        <f t="shared" si="125"/>
        <v>95.1</v>
      </c>
    </row>
    <row r="132" spans="17:21" x14ac:dyDescent="0.25">
      <c r="Q132" s="3" t="s">
        <v>648</v>
      </c>
      <c r="R132" s="1">
        <v>94.874999999999986</v>
      </c>
      <c r="T132" t="str">
        <f t="shared" ref="T132:U132" si="126">Q130</f>
        <v>Charmane Denys</v>
      </c>
      <c r="U132">
        <f t="shared" si="126"/>
        <v>95.1</v>
      </c>
    </row>
    <row r="133" spans="17:21" x14ac:dyDescent="0.25">
      <c r="Q133" s="3" t="s">
        <v>319</v>
      </c>
      <c r="R133" s="1">
        <v>94.874999999999986</v>
      </c>
      <c r="T133" t="str">
        <f t="shared" ref="T133:U133" si="127">Q131</f>
        <v>Carolee Winchcombe</v>
      </c>
      <c r="U133">
        <f t="shared" si="127"/>
        <v>95.1</v>
      </c>
    </row>
    <row r="134" spans="17:21" x14ac:dyDescent="0.25">
      <c r="Q134" s="3" t="s">
        <v>368</v>
      </c>
      <c r="R134" s="1">
        <v>94.504999999999995</v>
      </c>
      <c r="T134" t="str">
        <f t="shared" ref="T134:U134" si="128">Q132</f>
        <v>Nanine McCarthy</v>
      </c>
      <c r="U134">
        <f t="shared" si="128"/>
        <v>94.874999999999986</v>
      </c>
    </row>
    <row r="135" spans="17:21" x14ac:dyDescent="0.25">
      <c r="Q135" s="3" t="s">
        <v>67</v>
      </c>
      <c r="R135" s="1">
        <v>92.984999999999999</v>
      </c>
      <c r="T135" t="str">
        <f t="shared" ref="T135:U135" si="129">Q133</f>
        <v>Ewell Hanby</v>
      </c>
      <c r="U135">
        <f t="shared" si="129"/>
        <v>94.874999999999986</v>
      </c>
    </row>
    <row r="136" spans="17:21" x14ac:dyDescent="0.25">
      <c r="Q136" s="3" t="s">
        <v>905</v>
      </c>
      <c r="R136" s="1">
        <v>91.539999999999992</v>
      </c>
      <c r="T136" t="str">
        <f t="shared" ref="T136:U136" si="130">Q134</f>
        <v>Gladi Ducker</v>
      </c>
      <c r="U136">
        <f t="shared" si="130"/>
        <v>94.504999999999995</v>
      </c>
    </row>
    <row r="137" spans="17:21" x14ac:dyDescent="0.25">
      <c r="Q137" s="3" t="s">
        <v>685</v>
      </c>
      <c r="R137" s="1">
        <v>91.539999999999992</v>
      </c>
      <c r="T137" t="str">
        <f t="shared" ref="T137:U137" si="131">Q135</f>
        <v>Anson Iddison</v>
      </c>
      <c r="U137">
        <f t="shared" si="131"/>
        <v>92.984999999999999</v>
      </c>
    </row>
    <row r="138" spans="17:21" x14ac:dyDescent="0.25">
      <c r="Q138" s="3" t="s">
        <v>731</v>
      </c>
      <c r="R138" s="1">
        <v>91.539999999999992</v>
      </c>
      <c r="T138" t="str">
        <f t="shared" ref="T138:U138" si="132">Q136</f>
        <v>Wilton Jallin</v>
      </c>
      <c r="U138">
        <f t="shared" si="132"/>
        <v>91.539999999999992</v>
      </c>
    </row>
    <row r="139" spans="17:21" x14ac:dyDescent="0.25">
      <c r="Q139" s="3" t="s">
        <v>470</v>
      </c>
      <c r="R139" s="1">
        <v>91.539999999999992</v>
      </c>
      <c r="T139" t="str">
        <f t="shared" ref="T139:U139" si="133">Q137</f>
        <v>Oran Colbeck</v>
      </c>
      <c r="U139">
        <f t="shared" si="133"/>
        <v>91.539999999999992</v>
      </c>
    </row>
    <row r="140" spans="17:21" x14ac:dyDescent="0.25">
      <c r="Q140" s="3" t="s">
        <v>60</v>
      </c>
      <c r="R140" s="1">
        <v>91.539999999999992</v>
      </c>
      <c r="T140" t="str">
        <f t="shared" ref="T140:U140" si="134">Q138</f>
        <v>Raynor McGilvary</v>
      </c>
      <c r="U140">
        <f t="shared" si="134"/>
        <v>91.539999999999992</v>
      </c>
    </row>
    <row r="141" spans="17:21" x14ac:dyDescent="0.25">
      <c r="Q141" s="3" t="s">
        <v>592</v>
      </c>
      <c r="R141" s="1">
        <v>90.615000000000009</v>
      </c>
      <c r="T141" t="str">
        <f t="shared" ref="T141:U141" si="135">Q139</f>
        <v>Jermaine Branchett</v>
      </c>
      <c r="U141">
        <f t="shared" si="135"/>
        <v>91.539999999999992</v>
      </c>
    </row>
    <row r="142" spans="17:21" x14ac:dyDescent="0.25">
      <c r="Q142" s="3" t="s">
        <v>686</v>
      </c>
      <c r="R142" s="1">
        <v>90.27000000000001</v>
      </c>
      <c r="T142" t="str">
        <f t="shared" ref="T142:U142" si="136">Q140</f>
        <v>Annabel Antuk</v>
      </c>
      <c r="U142">
        <f t="shared" si="136"/>
        <v>91.539999999999992</v>
      </c>
    </row>
    <row r="143" spans="17:21" x14ac:dyDescent="0.25">
      <c r="Q143" s="3" t="s">
        <v>899</v>
      </c>
      <c r="R143" s="1">
        <v>89.35499999999999</v>
      </c>
      <c r="T143" t="str">
        <f t="shared" ref="T143:U143" si="137">Q141</f>
        <v>Marguerite Graves</v>
      </c>
      <c r="U143">
        <f t="shared" si="137"/>
        <v>90.615000000000009</v>
      </c>
    </row>
    <row r="144" spans="17:21" x14ac:dyDescent="0.25">
      <c r="Q144" s="3" t="s">
        <v>707</v>
      </c>
      <c r="R144" s="1">
        <v>89.35499999999999</v>
      </c>
      <c r="T144" t="str">
        <f t="shared" ref="T144:U144" si="138">Q142</f>
        <v>Orazio Comber</v>
      </c>
      <c r="U144">
        <f t="shared" si="138"/>
        <v>90.27000000000001</v>
      </c>
    </row>
    <row r="145" spans="17:21" x14ac:dyDescent="0.25">
      <c r="Q145" s="3" t="s">
        <v>252</v>
      </c>
      <c r="R145" s="1">
        <v>89.35499999999999</v>
      </c>
      <c r="T145" t="str">
        <f t="shared" ref="T145:U145" si="139">Q143</f>
        <v>Willa Rolling</v>
      </c>
      <c r="U145">
        <f t="shared" si="139"/>
        <v>89.35499999999999</v>
      </c>
    </row>
    <row r="146" spans="17:21" x14ac:dyDescent="0.25">
      <c r="Q146" s="3" t="s">
        <v>150</v>
      </c>
      <c r="R146" s="1">
        <v>89.35499999999999</v>
      </c>
      <c r="T146" t="str">
        <f t="shared" ref="T146:U146" si="140">Q144</f>
        <v>Perry Lyfield</v>
      </c>
      <c r="U146">
        <f t="shared" si="140"/>
        <v>89.35499999999999</v>
      </c>
    </row>
    <row r="147" spans="17:21" x14ac:dyDescent="0.25">
      <c r="Q147" s="3" t="s">
        <v>260</v>
      </c>
      <c r="R147" s="1">
        <v>89.35499999999999</v>
      </c>
      <c r="T147" t="str">
        <f t="shared" ref="T147:U147" si="141">Q145</f>
        <v>Devan Crownshaw</v>
      </c>
      <c r="U147">
        <f t="shared" si="141"/>
        <v>89.35499999999999</v>
      </c>
    </row>
    <row r="148" spans="17:21" x14ac:dyDescent="0.25">
      <c r="Q148" s="3" t="s">
        <v>166</v>
      </c>
      <c r="R148" s="1">
        <v>89.35499999999999</v>
      </c>
      <c r="T148" t="str">
        <f t="shared" ref="T148:U148" si="142">Q146</f>
        <v>Carlie Harce</v>
      </c>
      <c r="U148">
        <f t="shared" si="142"/>
        <v>89.35499999999999</v>
      </c>
    </row>
    <row r="149" spans="17:21" x14ac:dyDescent="0.25">
      <c r="Q149" s="3" t="s">
        <v>366</v>
      </c>
      <c r="R149" s="1">
        <v>89.1</v>
      </c>
      <c r="T149" t="str">
        <f t="shared" ref="T149:U149" si="143">Q147</f>
        <v>Dinah Crutcher</v>
      </c>
      <c r="U149">
        <f t="shared" si="143"/>
        <v>89.35499999999999</v>
      </c>
    </row>
    <row r="150" spans="17:21" x14ac:dyDescent="0.25">
      <c r="Q150" s="3" t="s">
        <v>387</v>
      </c>
      <c r="R150" s="1">
        <v>89.1</v>
      </c>
      <c r="T150" t="str">
        <f t="shared" ref="T150:U150" si="144">Q148</f>
        <v>Celie MacCourt</v>
      </c>
      <c r="U150">
        <f t="shared" si="144"/>
        <v>89.35499999999999</v>
      </c>
    </row>
    <row r="151" spans="17:21" x14ac:dyDescent="0.25">
      <c r="Q151" s="3" t="s">
        <v>187</v>
      </c>
      <c r="R151" s="1">
        <v>89.1</v>
      </c>
      <c r="T151" t="str">
        <f t="shared" ref="T151:U151" si="145">Q149</f>
        <v>Gilberto Cornier</v>
      </c>
      <c r="U151">
        <f t="shared" si="145"/>
        <v>89.1</v>
      </c>
    </row>
    <row r="152" spans="17:21" x14ac:dyDescent="0.25">
      <c r="Q152" s="3" t="s">
        <v>400</v>
      </c>
      <c r="R152" s="1">
        <v>87.300000000000011</v>
      </c>
      <c r="T152" t="str">
        <f t="shared" ref="T152:U152" si="146">Q150</f>
        <v>Gussy Broadbear</v>
      </c>
      <c r="U152">
        <f t="shared" si="146"/>
        <v>89.1</v>
      </c>
    </row>
    <row r="153" spans="17:21" x14ac:dyDescent="0.25">
      <c r="Q153" s="3" t="s">
        <v>491</v>
      </c>
      <c r="R153" s="1">
        <v>87.300000000000011</v>
      </c>
      <c r="T153" t="str">
        <f t="shared" ref="T153:U153" si="147">Q151</f>
        <v>Chuck Kendrick</v>
      </c>
      <c r="U153">
        <f t="shared" si="147"/>
        <v>89.1</v>
      </c>
    </row>
    <row r="154" spans="17:21" x14ac:dyDescent="0.25">
      <c r="Q154" s="3" t="s">
        <v>304</v>
      </c>
      <c r="R154" s="1">
        <v>87.300000000000011</v>
      </c>
      <c r="T154" t="str">
        <f t="shared" ref="T154:U154" si="148">Q152</f>
        <v>Harwilll Bishell</v>
      </c>
      <c r="U154">
        <f t="shared" si="148"/>
        <v>87.300000000000011</v>
      </c>
    </row>
    <row r="155" spans="17:21" x14ac:dyDescent="0.25">
      <c r="Q155" s="3" t="s">
        <v>908</v>
      </c>
      <c r="R155" s="1">
        <v>83.835000000000008</v>
      </c>
      <c r="T155" t="str">
        <f t="shared" ref="T155:U155" si="149">Q153</f>
        <v>Kaja Loxton</v>
      </c>
      <c r="U155">
        <f t="shared" si="149"/>
        <v>87.300000000000011</v>
      </c>
    </row>
    <row r="156" spans="17:21" x14ac:dyDescent="0.25">
      <c r="Q156" s="3" t="s">
        <v>440</v>
      </c>
      <c r="R156" s="1">
        <v>83.835000000000008</v>
      </c>
      <c r="T156" t="str">
        <f t="shared" ref="T156:U156" si="150">Q154</f>
        <v>Emiline Priddis</v>
      </c>
      <c r="U156">
        <f t="shared" si="150"/>
        <v>87.300000000000011</v>
      </c>
    </row>
    <row r="157" spans="17:21" x14ac:dyDescent="0.25">
      <c r="Q157" s="3" t="s">
        <v>370</v>
      </c>
      <c r="R157" s="1">
        <v>83.835000000000008</v>
      </c>
      <c r="T157" t="str">
        <f t="shared" ref="T157:U157" si="151">Q155</f>
        <v>Witty Ranson</v>
      </c>
      <c r="U157">
        <f t="shared" si="151"/>
        <v>83.835000000000008</v>
      </c>
    </row>
    <row r="158" spans="17:21" x14ac:dyDescent="0.25">
      <c r="Q158" s="3" t="s">
        <v>265</v>
      </c>
      <c r="R158" s="1">
        <v>83.835000000000008</v>
      </c>
      <c r="T158" t="str">
        <f t="shared" ref="T158:U158" si="152">Q156</f>
        <v>Isis Hessel</v>
      </c>
      <c r="U158">
        <f t="shared" si="152"/>
        <v>83.835000000000008</v>
      </c>
    </row>
    <row r="159" spans="17:21" x14ac:dyDescent="0.25">
      <c r="Q159" s="3" t="s">
        <v>805</v>
      </c>
      <c r="R159" s="1">
        <v>82.5</v>
      </c>
      <c r="T159" t="str">
        <f t="shared" ref="T159:U159" si="153">Q157</f>
        <v>Gnni Cheeke</v>
      </c>
      <c r="U159">
        <f t="shared" si="153"/>
        <v>83.835000000000008</v>
      </c>
    </row>
    <row r="160" spans="17:21" x14ac:dyDescent="0.25">
      <c r="Q160" s="3" t="s">
        <v>778</v>
      </c>
      <c r="R160" s="1">
        <v>82.5</v>
      </c>
      <c r="T160" t="str">
        <f t="shared" ref="T160:U160" si="154">Q158</f>
        <v>Dom Milella</v>
      </c>
      <c r="U160">
        <f t="shared" si="154"/>
        <v>83.835000000000008</v>
      </c>
    </row>
    <row r="161" spans="17:21" x14ac:dyDescent="0.25">
      <c r="Q161" s="3" t="s">
        <v>405</v>
      </c>
      <c r="R161" s="1">
        <v>82.5</v>
      </c>
      <c r="T161" t="str">
        <f t="shared" ref="T161:U161" si="155">Q159</f>
        <v>Sigfrid Busch</v>
      </c>
      <c r="U161">
        <f t="shared" si="155"/>
        <v>82.5</v>
      </c>
    </row>
    <row r="162" spans="17:21" x14ac:dyDescent="0.25">
      <c r="Q162" s="3" t="s">
        <v>612</v>
      </c>
      <c r="R162" s="1">
        <v>82.5</v>
      </c>
      <c r="T162" t="str">
        <f t="shared" ref="T162:U162" si="156">Q160</f>
        <v>Sarette Ducarel</v>
      </c>
      <c r="U162">
        <f t="shared" si="156"/>
        <v>82.5</v>
      </c>
    </row>
    <row r="163" spans="17:21" x14ac:dyDescent="0.25">
      <c r="Q163" s="3" t="s">
        <v>112</v>
      </c>
      <c r="R163" s="1">
        <v>82.5</v>
      </c>
      <c r="T163" t="str">
        <f t="shared" ref="T163:U163" si="157">Q161</f>
        <v>Hazel Saill</v>
      </c>
      <c r="U163">
        <f t="shared" si="157"/>
        <v>82.5</v>
      </c>
    </row>
    <row r="164" spans="17:21" x14ac:dyDescent="0.25">
      <c r="Q164" s="3" t="s">
        <v>184</v>
      </c>
      <c r="R164" s="1">
        <v>82.47</v>
      </c>
      <c r="T164" t="str">
        <f t="shared" ref="T164:U164" si="158">Q162</f>
        <v>Mellisa Mebes</v>
      </c>
      <c r="U164">
        <f t="shared" si="158"/>
        <v>82.5</v>
      </c>
    </row>
    <row r="165" spans="17:21" x14ac:dyDescent="0.25">
      <c r="Q165" s="3" t="s">
        <v>923</v>
      </c>
      <c r="R165" s="1">
        <v>82.454999999999984</v>
      </c>
      <c r="T165" t="str">
        <f t="shared" ref="T165:U165" si="159">Q163</f>
        <v>Beryl Osborn</v>
      </c>
      <c r="U165">
        <f t="shared" si="159"/>
        <v>82.5</v>
      </c>
    </row>
    <row r="166" spans="17:21" x14ac:dyDescent="0.25">
      <c r="Q166" s="3" t="s">
        <v>742</v>
      </c>
      <c r="R166" s="1">
        <v>82.339999999999989</v>
      </c>
      <c r="T166" t="str">
        <f t="shared" ref="T166:U166" si="160">Q164</f>
        <v>Christoffer O' Shea</v>
      </c>
      <c r="U166">
        <f t="shared" si="160"/>
        <v>82.47</v>
      </c>
    </row>
    <row r="167" spans="17:21" x14ac:dyDescent="0.25">
      <c r="Q167" s="3" t="s">
        <v>694</v>
      </c>
      <c r="R167" s="1">
        <v>82.339999999999989</v>
      </c>
      <c r="T167" t="str">
        <f t="shared" ref="T167:U167" si="161">Q165</f>
        <v>Zilvia Claisse</v>
      </c>
      <c r="U167">
        <f t="shared" si="161"/>
        <v>82.454999999999984</v>
      </c>
    </row>
    <row r="168" spans="17:21" x14ac:dyDescent="0.25">
      <c r="Q168" s="3" t="s">
        <v>788</v>
      </c>
      <c r="R168" s="1">
        <v>82.339999999999989</v>
      </c>
      <c r="T168" t="str">
        <f t="shared" ref="T168:U168" si="162">Q166</f>
        <v>Reube Cawley</v>
      </c>
      <c r="U168">
        <f t="shared" si="162"/>
        <v>82.339999999999989</v>
      </c>
    </row>
    <row r="169" spans="17:21" x14ac:dyDescent="0.25">
      <c r="Q169" s="3" t="s">
        <v>445</v>
      </c>
      <c r="R169" s="1">
        <v>82.339999999999989</v>
      </c>
      <c r="T169" t="str">
        <f t="shared" ref="T169:U169" si="163">Q167</f>
        <v>Pall Redford</v>
      </c>
      <c r="U169">
        <f t="shared" si="163"/>
        <v>82.339999999999989</v>
      </c>
    </row>
    <row r="170" spans="17:21" x14ac:dyDescent="0.25">
      <c r="Q170" s="3" t="s">
        <v>394</v>
      </c>
      <c r="R170" s="1">
        <v>82.339999999999989</v>
      </c>
      <c r="T170" t="str">
        <f t="shared" ref="T170:U170" si="164">Q168</f>
        <v>Sharity Wickens</v>
      </c>
      <c r="U170">
        <f t="shared" si="164"/>
        <v>82.339999999999989</v>
      </c>
    </row>
    <row r="171" spans="17:21" x14ac:dyDescent="0.25">
      <c r="Q171" s="3" t="s">
        <v>542</v>
      </c>
      <c r="R171" s="1">
        <v>82.339999999999989</v>
      </c>
      <c r="T171" t="str">
        <f t="shared" ref="T171:U171" si="165">Q169</f>
        <v>Jackquelin Chugg</v>
      </c>
      <c r="U171">
        <f t="shared" si="165"/>
        <v>82.339999999999989</v>
      </c>
    </row>
    <row r="172" spans="17:21" x14ac:dyDescent="0.25">
      <c r="Q172" s="3" t="s">
        <v>57</v>
      </c>
      <c r="R172" s="1">
        <v>82.339999999999989</v>
      </c>
      <c r="T172" t="str">
        <f t="shared" ref="T172:U172" si="166">Q170</f>
        <v>Hally Lorait</v>
      </c>
      <c r="U172">
        <f t="shared" si="166"/>
        <v>82.339999999999989</v>
      </c>
    </row>
    <row r="173" spans="17:21" x14ac:dyDescent="0.25">
      <c r="Q173" s="3" t="s">
        <v>433</v>
      </c>
      <c r="R173" s="1">
        <v>80.67</v>
      </c>
      <c r="T173" t="str">
        <f t="shared" ref="T173:U173" si="167">Q171</f>
        <v>Lenette Dwerryhouse</v>
      </c>
      <c r="U173">
        <f t="shared" si="167"/>
        <v>82.339999999999989</v>
      </c>
    </row>
    <row r="174" spans="17:21" x14ac:dyDescent="0.25">
      <c r="Q174" s="3" t="s">
        <v>654</v>
      </c>
      <c r="R174" s="1">
        <v>79.25</v>
      </c>
      <c r="T174" t="str">
        <f t="shared" ref="T174:U174" si="168">Q172</f>
        <v>Angelia Cockrem</v>
      </c>
      <c r="U174">
        <f t="shared" si="168"/>
        <v>82.339999999999989</v>
      </c>
    </row>
    <row r="175" spans="17:21" x14ac:dyDescent="0.25">
      <c r="Q175" s="3" t="s">
        <v>377</v>
      </c>
      <c r="R175" s="1">
        <v>79.25</v>
      </c>
      <c r="T175" t="str">
        <f t="shared" ref="T175:U175" si="169">Q173</f>
        <v>Ira Sjostrom</v>
      </c>
      <c r="U175">
        <f t="shared" si="169"/>
        <v>80.67</v>
      </c>
    </row>
    <row r="176" spans="17:21" x14ac:dyDescent="0.25">
      <c r="Q176" s="3" t="s">
        <v>167</v>
      </c>
      <c r="R176" s="1">
        <v>79.25</v>
      </c>
      <c r="T176" t="str">
        <f t="shared" ref="T176:U176" si="170">Q174</f>
        <v>Nataniel Helkin</v>
      </c>
      <c r="U176">
        <f t="shared" si="170"/>
        <v>79.25</v>
      </c>
    </row>
    <row r="177" spans="17:21" x14ac:dyDescent="0.25">
      <c r="Q177" s="3" t="s">
        <v>224</v>
      </c>
      <c r="R177" s="1">
        <v>79.25</v>
      </c>
      <c r="T177" t="str">
        <f t="shared" ref="T177:U177" si="171">Q175</f>
        <v>Granger Fantham</v>
      </c>
      <c r="U177">
        <f t="shared" si="171"/>
        <v>79.25</v>
      </c>
    </row>
    <row r="178" spans="17:21" x14ac:dyDescent="0.25">
      <c r="Q178" s="3" t="s">
        <v>678</v>
      </c>
      <c r="R178" s="1">
        <v>77.699999999999989</v>
      </c>
      <c r="T178" t="str">
        <f t="shared" ref="T178:U178" si="172">Q176</f>
        <v>Chad Miguel</v>
      </c>
      <c r="U178">
        <f t="shared" si="172"/>
        <v>79.25</v>
      </c>
    </row>
    <row r="179" spans="17:21" x14ac:dyDescent="0.25">
      <c r="Q179" s="3" t="s">
        <v>859</v>
      </c>
      <c r="R179" s="1">
        <v>77.699999999999989</v>
      </c>
      <c r="T179" t="str">
        <f t="shared" ref="T179:U179" si="173">Q177</f>
        <v>Currey MacAllister</v>
      </c>
      <c r="U179">
        <f t="shared" si="173"/>
        <v>79.25</v>
      </c>
    </row>
    <row r="180" spans="17:21" x14ac:dyDescent="0.25">
      <c r="Q180" s="3" t="s">
        <v>724</v>
      </c>
      <c r="R180" s="1">
        <v>77.699999999999989</v>
      </c>
      <c r="T180" t="str">
        <f t="shared" ref="T180:U180" si="174">Q178</f>
        <v>Noel Chisholm</v>
      </c>
      <c r="U180">
        <f t="shared" si="174"/>
        <v>77.699999999999989</v>
      </c>
    </row>
    <row r="181" spans="17:21" x14ac:dyDescent="0.25">
      <c r="Q181" s="3" t="s">
        <v>677</v>
      </c>
      <c r="R181" s="1">
        <v>77.699999999999989</v>
      </c>
      <c r="T181" t="str">
        <f t="shared" ref="T181:U181" si="175">Q179</f>
        <v>Torie Gottelier</v>
      </c>
      <c r="U181">
        <f t="shared" si="175"/>
        <v>77.699999999999989</v>
      </c>
    </row>
    <row r="182" spans="17:21" x14ac:dyDescent="0.25">
      <c r="Q182" s="3" t="s">
        <v>866</v>
      </c>
      <c r="R182" s="1">
        <v>77.699999999999989</v>
      </c>
      <c r="T182" t="str">
        <f t="shared" ref="T182:U182" si="176">Q180</f>
        <v>Raleigh Lepere</v>
      </c>
      <c r="U182">
        <f t="shared" si="176"/>
        <v>77.699999999999989</v>
      </c>
    </row>
    <row r="183" spans="17:21" x14ac:dyDescent="0.25">
      <c r="Q183" s="3" t="s">
        <v>746</v>
      </c>
      <c r="R183" s="1">
        <v>77.699999999999989</v>
      </c>
      <c r="T183" t="str">
        <f t="shared" ref="T183:U183" si="177">Q181</f>
        <v>Nobe Buney</v>
      </c>
      <c r="U183">
        <f t="shared" si="177"/>
        <v>77.699999999999989</v>
      </c>
    </row>
    <row r="184" spans="17:21" x14ac:dyDescent="0.25">
      <c r="Q184" s="3" t="s">
        <v>752</v>
      </c>
      <c r="R184" s="1">
        <v>77.699999999999989</v>
      </c>
      <c r="T184" t="str">
        <f t="shared" ref="T184:U184" si="178">Q182</f>
        <v>Ugo Southerden</v>
      </c>
      <c r="U184">
        <f t="shared" si="178"/>
        <v>77.699999999999989</v>
      </c>
    </row>
    <row r="185" spans="17:21" x14ac:dyDescent="0.25">
      <c r="Q185" s="3" t="s">
        <v>590</v>
      </c>
      <c r="R185" s="1">
        <v>77.699999999999989</v>
      </c>
      <c r="T185" t="str">
        <f t="shared" ref="T185:U185" si="179">Q183</f>
        <v>Rhianon Broxup</v>
      </c>
      <c r="U185">
        <f t="shared" si="179"/>
        <v>77.699999999999989</v>
      </c>
    </row>
    <row r="186" spans="17:21" x14ac:dyDescent="0.25">
      <c r="Q186" s="3" t="s">
        <v>543</v>
      </c>
      <c r="R186" s="1">
        <v>77.699999999999989</v>
      </c>
      <c r="T186" t="str">
        <f t="shared" ref="T186:U186" si="180">Q184</f>
        <v>Rivy Farington</v>
      </c>
      <c r="U186">
        <f t="shared" si="180"/>
        <v>77.699999999999989</v>
      </c>
    </row>
    <row r="187" spans="17:21" x14ac:dyDescent="0.25">
      <c r="Q187" s="3" t="s">
        <v>210</v>
      </c>
      <c r="R187" s="1">
        <v>77.699999999999989</v>
      </c>
      <c r="T187" t="str">
        <f t="shared" ref="T187:U187" si="181">Q185</f>
        <v>Margarette Sterland</v>
      </c>
      <c r="U187">
        <f t="shared" si="181"/>
        <v>77.699999999999989</v>
      </c>
    </row>
    <row r="188" spans="17:21" x14ac:dyDescent="0.25">
      <c r="Q188" s="3" t="s">
        <v>889</v>
      </c>
      <c r="R188" s="1">
        <v>77.624999999999986</v>
      </c>
      <c r="T188" t="str">
        <f t="shared" ref="T188:U188" si="182">Q186</f>
        <v>Lenka Rushmer</v>
      </c>
      <c r="U188">
        <f t="shared" si="182"/>
        <v>77.699999999999989</v>
      </c>
    </row>
    <row r="189" spans="17:21" x14ac:dyDescent="0.25">
      <c r="Q189" s="3" t="s">
        <v>662</v>
      </c>
      <c r="R189" s="1">
        <v>77.624999999999986</v>
      </c>
      <c r="T189" t="str">
        <f t="shared" ref="T189:U189" si="183">Q187</f>
        <v>Cordy Odgaard</v>
      </c>
      <c r="U189">
        <f t="shared" si="183"/>
        <v>77.699999999999989</v>
      </c>
    </row>
    <row r="190" spans="17:21" x14ac:dyDescent="0.25">
      <c r="Q190" s="3" t="s">
        <v>334</v>
      </c>
      <c r="R190" s="1">
        <v>77.624999999999986</v>
      </c>
      <c r="T190" t="str">
        <f t="shared" ref="T190:U190" si="184">Q188</f>
        <v>Wallis Bernth</v>
      </c>
      <c r="U190">
        <f t="shared" si="184"/>
        <v>77.624999999999986</v>
      </c>
    </row>
    <row r="191" spans="17:21" x14ac:dyDescent="0.25">
      <c r="Q191" s="3" t="s">
        <v>552</v>
      </c>
      <c r="R191" s="1">
        <v>77.624999999999986</v>
      </c>
      <c r="T191" t="str">
        <f t="shared" ref="T191:U191" si="185">Q189</f>
        <v>Neville Piatto</v>
      </c>
      <c r="U191">
        <f t="shared" si="185"/>
        <v>77.624999999999986</v>
      </c>
    </row>
    <row r="192" spans="17:21" x14ac:dyDescent="0.25">
      <c r="Q192" s="3" t="s">
        <v>528</v>
      </c>
      <c r="R192" s="1">
        <v>77.624999999999986</v>
      </c>
      <c r="T192" t="str">
        <f t="shared" ref="T192:U192" si="186">Q190</f>
        <v>Fielding Keinrat</v>
      </c>
      <c r="U192">
        <f t="shared" si="186"/>
        <v>77.624999999999986</v>
      </c>
    </row>
    <row r="193" spans="17:21" x14ac:dyDescent="0.25">
      <c r="Q193" s="3" t="s">
        <v>86</v>
      </c>
      <c r="R193" s="1">
        <v>77.624999999999986</v>
      </c>
      <c r="T193" t="str">
        <f t="shared" ref="T193:U193" si="187">Q191</f>
        <v>Lindon Agnolo</v>
      </c>
      <c r="U193">
        <f t="shared" si="187"/>
        <v>77.624999999999986</v>
      </c>
    </row>
    <row r="194" spans="17:21" x14ac:dyDescent="0.25">
      <c r="Q194" s="3" t="s">
        <v>209</v>
      </c>
      <c r="R194" s="1">
        <v>76.760000000000005</v>
      </c>
      <c r="T194" t="str">
        <f t="shared" ref="T194:U194" si="188">Q192</f>
        <v>Kynthia Berick</v>
      </c>
      <c r="U194">
        <f t="shared" si="188"/>
        <v>77.624999999999986</v>
      </c>
    </row>
    <row r="195" spans="17:21" x14ac:dyDescent="0.25">
      <c r="Q195" s="3" t="s">
        <v>723</v>
      </c>
      <c r="R195" s="1">
        <v>75.239999999999995</v>
      </c>
      <c r="T195" t="str">
        <f t="shared" ref="T195:U195" si="189">Q193</f>
        <v>Aurlie McCarl</v>
      </c>
      <c r="U195">
        <f t="shared" si="189"/>
        <v>77.624999999999986</v>
      </c>
    </row>
    <row r="196" spans="17:21" x14ac:dyDescent="0.25">
      <c r="Q196" s="3" t="s">
        <v>801</v>
      </c>
      <c r="R196" s="1">
        <v>74.25</v>
      </c>
      <c r="T196" t="str">
        <f t="shared" ref="T196:U196" si="190">Q194</f>
        <v>Cordi Switsur</v>
      </c>
      <c r="U196">
        <f t="shared" si="190"/>
        <v>76.760000000000005</v>
      </c>
    </row>
    <row r="197" spans="17:21" x14ac:dyDescent="0.25">
      <c r="Q197" s="3" t="s">
        <v>328</v>
      </c>
      <c r="R197" s="1">
        <v>74.25</v>
      </c>
      <c r="T197" t="str">
        <f t="shared" ref="T197:U197" si="191">Q195</f>
        <v>Rafferty Pursglove</v>
      </c>
      <c r="U197">
        <f t="shared" si="191"/>
        <v>75.239999999999995</v>
      </c>
    </row>
    <row r="198" spans="17:21" x14ac:dyDescent="0.25">
      <c r="Q198" s="3" t="s">
        <v>243</v>
      </c>
      <c r="R198" s="1">
        <v>74.25</v>
      </c>
      <c r="T198" t="str">
        <f t="shared" ref="T198:U198" si="192">Q196</f>
        <v>Shirleen Welds</v>
      </c>
      <c r="U198">
        <f t="shared" si="192"/>
        <v>74.25</v>
      </c>
    </row>
    <row r="199" spans="17:21" x14ac:dyDescent="0.25">
      <c r="Q199" s="3" t="s">
        <v>792</v>
      </c>
      <c r="R199" s="1">
        <v>72.91</v>
      </c>
      <c r="T199" t="str">
        <f t="shared" ref="T199:U199" si="193">Q197</f>
        <v>Feliks Babber</v>
      </c>
      <c r="U199">
        <f t="shared" si="193"/>
        <v>74.25</v>
      </c>
    </row>
    <row r="200" spans="17:21" x14ac:dyDescent="0.25">
      <c r="Q200" s="3" t="s">
        <v>607</v>
      </c>
      <c r="R200" s="1">
        <v>72.91</v>
      </c>
      <c r="T200" t="str">
        <f t="shared" ref="T200:U200" si="194">Q198</f>
        <v>Dell Gut</v>
      </c>
      <c r="U200">
        <f t="shared" si="194"/>
        <v>74.25</v>
      </c>
    </row>
    <row r="201" spans="17:21" x14ac:dyDescent="0.25">
      <c r="Q201" s="3" t="s">
        <v>468</v>
      </c>
      <c r="R201" s="1">
        <v>72.91</v>
      </c>
      <c r="T201" t="str">
        <f t="shared" ref="T201:U201" si="195">Q199</f>
        <v>Shay Couronne</v>
      </c>
      <c r="U201">
        <f t="shared" si="195"/>
        <v>72.91</v>
      </c>
    </row>
    <row r="202" spans="17:21" x14ac:dyDescent="0.25">
      <c r="Q202" s="3" t="s">
        <v>312</v>
      </c>
      <c r="R202" s="1">
        <v>72.91</v>
      </c>
      <c r="T202" t="str">
        <f t="shared" ref="T202:U202" si="196">Q200</f>
        <v>Maurie Bartol</v>
      </c>
      <c r="U202">
        <f t="shared" si="196"/>
        <v>72.91</v>
      </c>
    </row>
    <row r="203" spans="17:21" x14ac:dyDescent="0.25">
      <c r="Q203" s="3" t="s">
        <v>711</v>
      </c>
      <c r="R203" s="1">
        <v>72.900000000000006</v>
      </c>
      <c r="T203" t="str">
        <f t="shared" ref="T203:U203" si="197">Q201</f>
        <v>Jeno Druitt</v>
      </c>
      <c r="U203">
        <f t="shared" si="197"/>
        <v>72.91</v>
      </c>
    </row>
    <row r="204" spans="17:21" x14ac:dyDescent="0.25">
      <c r="Q204" s="3" t="s">
        <v>697</v>
      </c>
      <c r="R204" s="1">
        <v>72.900000000000006</v>
      </c>
      <c r="T204" t="str">
        <f t="shared" ref="T204:U204" si="198">Q202</f>
        <v>Erny Stenyng</v>
      </c>
      <c r="U204">
        <f t="shared" si="198"/>
        <v>72.91</v>
      </c>
    </row>
    <row r="205" spans="17:21" x14ac:dyDescent="0.25">
      <c r="Q205" s="3" t="s">
        <v>519</v>
      </c>
      <c r="R205" s="1">
        <v>72.900000000000006</v>
      </c>
      <c r="T205" t="str">
        <f t="shared" ref="T205:U205" si="199">Q203</f>
        <v>Philipa Petrushanko</v>
      </c>
      <c r="U205">
        <f t="shared" si="199"/>
        <v>72.900000000000006</v>
      </c>
    </row>
    <row r="206" spans="17:21" x14ac:dyDescent="0.25">
      <c r="Q206" s="3" t="s">
        <v>431</v>
      </c>
      <c r="R206" s="1">
        <v>72.900000000000006</v>
      </c>
      <c r="T206" t="str">
        <f t="shared" ref="T206:U206" si="200">Q204</f>
        <v>Parker Tofful</v>
      </c>
      <c r="U206">
        <f t="shared" si="200"/>
        <v>72.900000000000006</v>
      </c>
    </row>
    <row r="207" spans="17:21" x14ac:dyDescent="0.25">
      <c r="Q207" s="3" t="s">
        <v>72</v>
      </c>
      <c r="R207" s="1">
        <v>72.75</v>
      </c>
      <c r="T207" t="str">
        <f t="shared" ref="T207:U207" si="201">Q205</f>
        <v>Klarika Egglestone</v>
      </c>
      <c r="U207">
        <f t="shared" si="201"/>
        <v>72.900000000000006</v>
      </c>
    </row>
    <row r="208" spans="17:21" x14ac:dyDescent="0.25">
      <c r="Q208" s="3" t="s">
        <v>918</v>
      </c>
      <c r="R208" s="1">
        <v>71.699999999999989</v>
      </c>
      <c r="T208" t="str">
        <f t="shared" ref="T208:U208" si="202">Q206</f>
        <v>Innis Renhard</v>
      </c>
      <c r="U208">
        <f t="shared" si="202"/>
        <v>72.900000000000006</v>
      </c>
    </row>
    <row r="209" spans="17:21" x14ac:dyDescent="0.25">
      <c r="Q209" s="3" t="s">
        <v>100</v>
      </c>
      <c r="R209" s="1">
        <v>71.699999999999989</v>
      </c>
      <c r="T209" t="str">
        <f t="shared" ref="T209:U209" si="203">Q207</f>
        <v>Archambault Gillard</v>
      </c>
      <c r="U209">
        <f t="shared" si="203"/>
        <v>72.75</v>
      </c>
    </row>
    <row r="210" spans="17:21" x14ac:dyDescent="0.25">
      <c r="Q210" s="3" t="s">
        <v>66</v>
      </c>
      <c r="R210" s="1">
        <v>71.699999999999989</v>
      </c>
      <c r="T210" t="str">
        <f t="shared" ref="T210:U210" si="204">Q208</f>
        <v>Zachariah Carlson</v>
      </c>
      <c r="U210">
        <f t="shared" si="204"/>
        <v>71.699999999999989</v>
      </c>
    </row>
    <row r="211" spans="17:21" x14ac:dyDescent="0.25">
      <c r="Q211" s="3" t="s">
        <v>546</v>
      </c>
      <c r="R211" s="1">
        <v>71.150000000000006</v>
      </c>
      <c r="T211" t="str">
        <f t="shared" ref="T211:U211" si="205">Q209</f>
        <v>Becca Ableson</v>
      </c>
      <c r="U211">
        <f t="shared" si="205"/>
        <v>71.699999999999989</v>
      </c>
    </row>
    <row r="212" spans="17:21" x14ac:dyDescent="0.25">
      <c r="Q212" s="3" t="s">
        <v>875</v>
      </c>
      <c r="R212" s="1">
        <v>68.75</v>
      </c>
      <c r="T212" t="str">
        <f t="shared" ref="T212:U212" si="206">Q210</f>
        <v>Anselma Attwater</v>
      </c>
      <c r="U212">
        <f t="shared" si="206"/>
        <v>71.699999999999989</v>
      </c>
    </row>
    <row r="213" spans="17:21" x14ac:dyDescent="0.25">
      <c r="Q213" s="3" t="s">
        <v>82</v>
      </c>
      <c r="R213" s="1">
        <v>68.75</v>
      </c>
      <c r="T213" t="str">
        <f t="shared" ref="T213:U213" si="207">Q211</f>
        <v>Leonore Francisco</v>
      </c>
      <c r="U213">
        <f t="shared" si="207"/>
        <v>71.150000000000006</v>
      </c>
    </row>
    <row r="214" spans="17:21" x14ac:dyDescent="0.25">
      <c r="Q214" s="3" t="s">
        <v>205</v>
      </c>
      <c r="R214" s="1">
        <v>68.75</v>
      </c>
      <c r="T214" t="str">
        <f t="shared" ref="T214:U214" si="208">Q212</f>
        <v>Vasily Polglase</v>
      </c>
      <c r="U214">
        <f t="shared" si="208"/>
        <v>68.75</v>
      </c>
    </row>
    <row r="215" spans="17:21" x14ac:dyDescent="0.25">
      <c r="Q215" s="3" t="s">
        <v>901</v>
      </c>
      <c r="R215" s="1">
        <v>68.655000000000001</v>
      </c>
      <c r="T215" t="str">
        <f t="shared" ref="T215:U215" si="209">Q213</f>
        <v>Auguste Rizon</v>
      </c>
      <c r="U215">
        <f t="shared" si="209"/>
        <v>68.75</v>
      </c>
    </row>
    <row r="216" spans="17:21" x14ac:dyDescent="0.25">
      <c r="Q216" s="3" t="s">
        <v>635</v>
      </c>
      <c r="R216" s="1">
        <v>68.655000000000001</v>
      </c>
      <c r="T216" t="str">
        <f t="shared" ref="T216:U216" si="210">Q214</f>
        <v>Connor Heaviside</v>
      </c>
      <c r="U216">
        <f t="shared" si="210"/>
        <v>68.75</v>
      </c>
    </row>
    <row r="217" spans="17:21" x14ac:dyDescent="0.25">
      <c r="Q217" s="3" t="s">
        <v>604</v>
      </c>
      <c r="R217" s="1">
        <v>68.655000000000001</v>
      </c>
      <c r="T217" t="str">
        <f t="shared" ref="T217:U217" si="211">Q215</f>
        <v>Willabella Harvison</v>
      </c>
      <c r="U217">
        <f t="shared" si="211"/>
        <v>68.655000000000001</v>
      </c>
    </row>
    <row r="218" spans="17:21" x14ac:dyDescent="0.25">
      <c r="Q218" s="3" t="s">
        <v>117</v>
      </c>
      <c r="R218" s="1">
        <v>68.655000000000001</v>
      </c>
      <c r="T218" t="str">
        <f t="shared" ref="T218:U218" si="212">Q216</f>
        <v>Mord Meriet</v>
      </c>
      <c r="U218">
        <f t="shared" si="212"/>
        <v>68.655000000000001</v>
      </c>
    </row>
    <row r="219" spans="17:21" x14ac:dyDescent="0.25">
      <c r="Q219" s="3" t="s">
        <v>246</v>
      </c>
      <c r="R219" s="1">
        <v>68.655000000000001</v>
      </c>
      <c r="T219" t="str">
        <f t="shared" ref="T219:U219" si="213">Q217</f>
        <v>Marvin Malloy</v>
      </c>
      <c r="U219">
        <f t="shared" si="213"/>
        <v>68.655000000000001</v>
      </c>
    </row>
    <row r="220" spans="17:21" x14ac:dyDescent="0.25">
      <c r="Q220" s="3" t="s">
        <v>906</v>
      </c>
      <c r="R220" s="1">
        <v>68.309999999999988</v>
      </c>
      <c r="T220" t="str">
        <f t="shared" ref="T220:U220" si="214">Q218</f>
        <v>Bettina Leffek</v>
      </c>
      <c r="U220">
        <f t="shared" si="214"/>
        <v>68.655000000000001</v>
      </c>
    </row>
    <row r="221" spans="17:21" x14ac:dyDescent="0.25">
      <c r="Q221" s="3" t="s">
        <v>786</v>
      </c>
      <c r="R221" s="1">
        <v>68.309999999999988</v>
      </c>
      <c r="T221" t="str">
        <f t="shared" ref="T221:U221" si="215">Q219</f>
        <v>Denny O' Ronan</v>
      </c>
      <c r="U221">
        <f t="shared" si="215"/>
        <v>68.655000000000001</v>
      </c>
    </row>
    <row r="222" spans="17:21" x14ac:dyDescent="0.25">
      <c r="Q222" s="3" t="s">
        <v>840</v>
      </c>
      <c r="R222" s="1">
        <v>68.309999999999988</v>
      </c>
      <c r="T222" t="str">
        <f t="shared" ref="T222:U222" si="216">Q220</f>
        <v>Winn Keyse</v>
      </c>
      <c r="U222">
        <f t="shared" si="216"/>
        <v>68.309999999999988</v>
      </c>
    </row>
    <row r="223" spans="17:21" x14ac:dyDescent="0.25">
      <c r="Q223" s="3" t="s">
        <v>664</v>
      </c>
      <c r="R223" s="1">
        <v>67.5</v>
      </c>
      <c r="T223" t="str">
        <f t="shared" ref="T223:U223" si="217">Q221</f>
        <v>Serena Earley</v>
      </c>
      <c r="U223">
        <f t="shared" si="217"/>
        <v>68.309999999999988</v>
      </c>
    </row>
    <row r="224" spans="17:21" x14ac:dyDescent="0.25">
      <c r="Q224" s="3" t="s">
        <v>172</v>
      </c>
      <c r="R224" s="1">
        <v>67.5</v>
      </c>
      <c r="T224" t="str">
        <f t="shared" ref="T224:U224" si="218">Q222</f>
        <v>Temple Castiglione</v>
      </c>
      <c r="U224">
        <f t="shared" si="218"/>
        <v>68.309999999999988</v>
      </c>
    </row>
    <row r="225" spans="17:21" x14ac:dyDescent="0.25">
      <c r="Q225" s="3" t="s">
        <v>214</v>
      </c>
      <c r="R225" s="1">
        <v>67.5</v>
      </c>
      <c r="T225" t="str">
        <f t="shared" ref="T225:U225" si="219">Q223</f>
        <v>Nevsa Fields</v>
      </c>
      <c r="U225">
        <f t="shared" si="219"/>
        <v>67.5</v>
      </c>
    </row>
    <row r="226" spans="17:21" x14ac:dyDescent="0.25">
      <c r="Q226" s="3" t="s">
        <v>217</v>
      </c>
      <c r="R226" s="1">
        <v>67.5</v>
      </c>
      <c r="T226" t="str">
        <f t="shared" ref="T226:U226" si="220">Q224</f>
        <v>Charin Maplethorp</v>
      </c>
      <c r="U226">
        <f t="shared" si="220"/>
        <v>67.5</v>
      </c>
    </row>
    <row r="227" spans="17:21" x14ac:dyDescent="0.25">
      <c r="Q227" s="3" t="s">
        <v>738</v>
      </c>
      <c r="R227" s="1">
        <v>66.929999999999993</v>
      </c>
      <c r="T227" t="str">
        <f t="shared" ref="T227:U227" si="221">Q225</f>
        <v>Cornie Venour</v>
      </c>
      <c r="U227">
        <f t="shared" si="221"/>
        <v>67.5</v>
      </c>
    </row>
    <row r="228" spans="17:21" x14ac:dyDescent="0.25">
      <c r="Q228" s="3" t="s">
        <v>331</v>
      </c>
      <c r="R228" s="1">
        <v>66.929999999999993</v>
      </c>
      <c r="T228" t="str">
        <f t="shared" ref="T228:U228" si="222">Q226</f>
        <v>Corrie Wass</v>
      </c>
      <c r="U228">
        <f t="shared" si="222"/>
        <v>67.5</v>
      </c>
    </row>
    <row r="229" spans="17:21" x14ac:dyDescent="0.25">
      <c r="Q229" s="3" t="s">
        <v>518</v>
      </c>
      <c r="R229" s="1">
        <v>66.929999999999993</v>
      </c>
      <c r="T229" t="str">
        <f t="shared" ref="T229:U229" si="223">Q227</f>
        <v>Reggie Thickpenny</v>
      </c>
      <c r="U229">
        <f t="shared" si="223"/>
        <v>66.929999999999993</v>
      </c>
    </row>
    <row r="230" spans="17:21" x14ac:dyDescent="0.25">
      <c r="Q230" s="3" t="s">
        <v>509</v>
      </c>
      <c r="R230" s="1">
        <v>64.75</v>
      </c>
      <c r="T230" t="str">
        <f t="shared" ref="T230:U230" si="224">Q228</f>
        <v>Ferdie Tourry</v>
      </c>
      <c r="U230">
        <f t="shared" si="224"/>
        <v>66.929999999999993</v>
      </c>
    </row>
    <row r="231" spans="17:21" x14ac:dyDescent="0.25">
      <c r="Q231" s="3" t="s">
        <v>659</v>
      </c>
      <c r="R231" s="1">
        <v>63.4</v>
      </c>
      <c r="T231" t="str">
        <f t="shared" ref="T231:U231" si="225">Q229</f>
        <v>Kizzie Warman</v>
      </c>
      <c r="U231">
        <f t="shared" si="225"/>
        <v>66.929999999999993</v>
      </c>
    </row>
    <row r="232" spans="17:21" x14ac:dyDescent="0.25">
      <c r="Q232" s="3" t="s">
        <v>745</v>
      </c>
      <c r="R232" s="1">
        <v>63.4</v>
      </c>
      <c r="T232" t="str">
        <f t="shared" ref="T232:U232" si="226">Q230</f>
        <v>Kevan Grinsted</v>
      </c>
      <c r="U232">
        <f t="shared" si="226"/>
        <v>64.75</v>
      </c>
    </row>
    <row r="233" spans="17:21" x14ac:dyDescent="0.25">
      <c r="Q233" s="3" t="s">
        <v>512</v>
      </c>
      <c r="R233" s="1">
        <v>63.4</v>
      </c>
      <c r="T233" t="str">
        <f t="shared" ref="T233:U233" si="227">Q231</f>
        <v>Neely Broadberrie</v>
      </c>
      <c r="U233">
        <f t="shared" si="227"/>
        <v>63.4</v>
      </c>
    </row>
    <row r="234" spans="17:21" x14ac:dyDescent="0.25">
      <c r="Q234" s="3" t="s">
        <v>628</v>
      </c>
      <c r="R234" s="1">
        <v>63.249999999999993</v>
      </c>
      <c r="T234" t="str">
        <f t="shared" ref="T234:U234" si="228">Q232</f>
        <v>Rhetta Zywicki</v>
      </c>
      <c r="U234">
        <f t="shared" si="228"/>
        <v>63.4</v>
      </c>
    </row>
    <row r="235" spans="17:21" x14ac:dyDescent="0.25">
      <c r="Q235" s="3" t="s">
        <v>537</v>
      </c>
      <c r="R235" s="1">
        <v>63.249999999999993</v>
      </c>
      <c r="T235" t="str">
        <f t="shared" ref="T235:U235" si="229">Q233</f>
        <v>Killian Osler</v>
      </c>
      <c r="U235">
        <f t="shared" si="229"/>
        <v>63.4</v>
      </c>
    </row>
    <row r="236" spans="17:21" x14ac:dyDescent="0.25">
      <c r="Q236" s="3" t="s">
        <v>606</v>
      </c>
      <c r="R236" s="1">
        <v>63.249999999999993</v>
      </c>
      <c r="T236" t="str">
        <f t="shared" ref="T236:U236" si="230">Q234</f>
        <v>Minny Chamberlayne</v>
      </c>
      <c r="U236">
        <f t="shared" si="230"/>
        <v>63.249999999999993</v>
      </c>
    </row>
    <row r="237" spans="17:21" x14ac:dyDescent="0.25">
      <c r="Q237" s="3" t="s">
        <v>472</v>
      </c>
      <c r="R237" s="1">
        <v>63.249999999999993</v>
      </c>
      <c r="T237" t="str">
        <f t="shared" ref="T237:U237" si="231">Q235</f>
        <v>Leesa Flaonier</v>
      </c>
      <c r="U237">
        <f t="shared" si="231"/>
        <v>63.249999999999993</v>
      </c>
    </row>
    <row r="238" spans="17:21" x14ac:dyDescent="0.25">
      <c r="Q238" s="3" t="s">
        <v>357</v>
      </c>
      <c r="R238" s="1">
        <v>63.249999999999993</v>
      </c>
      <c r="T238" t="str">
        <f t="shared" ref="T238:U238" si="232">Q236</f>
        <v>Mathilda Matiasek</v>
      </c>
      <c r="U238">
        <f t="shared" si="232"/>
        <v>63.249999999999993</v>
      </c>
    </row>
    <row r="239" spans="17:21" x14ac:dyDescent="0.25">
      <c r="Q239" s="3" t="s">
        <v>271</v>
      </c>
      <c r="R239" s="1">
        <v>63.249999999999993</v>
      </c>
      <c r="T239" t="str">
        <f t="shared" ref="T239:U239" si="233">Q237</f>
        <v>Jewelle Shenton</v>
      </c>
      <c r="U239">
        <f t="shared" si="233"/>
        <v>63.249999999999993</v>
      </c>
    </row>
    <row r="240" spans="17:21" x14ac:dyDescent="0.25">
      <c r="Q240" s="3" t="s">
        <v>314</v>
      </c>
      <c r="R240" s="1">
        <v>63.249999999999993</v>
      </c>
      <c r="T240" t="str">
        <f t="shared" ref="T240:U240" si="234">Q238</f>
        <v>Gay Eilhersen</v>
      </c>
      <c r="U240">
        <f t="shared" si="234"/>
        <v>63.249999999999993</v>
      </c>
    </row>
    <row r="241" spans="17:21" x14ac:dyDescent="0.25">
      <c r="Q241" s="3" t="s">
        <v>145</v>
      </c>
      <c r="R241" s="1">
        <v>63.249999999999993</v>
      </c>
      <c r="T241" t="str">
        <f t="shared" ref="T241:U241" si="235">Q239</f>
        <v>Donna Baskeyfied</v>
      </c>
      <c r="U241">
        <f t="shared" si="235"/>
        <v>63.249999999999993</v>
      </c>
    </row>
    <row r="242" spans="17:21" x14ac:dyDescent="0.25">
      <c r="Q242" s="3" t="s">
        <v>257</v>
      </c>
      <c r="R242" s="1">
        <v>63.249999999999993</v>
      </c>
      <c r="T242" t="str">
        <f t="shared" ref="T242:U242" si="236">Q240</f>
        <v>Ethelda Hobbing</v>
      </c>
      <c r="U242">
        <f t="shared" si="236"/>
        <v>63.249999999999993</v>
      </c>
    </row>
    <row r="243" spans="17:21" x14ac:dyDescent="0.25">
      <c r="Q243" s="3" t="s">
        <v>703</v>
      </c>
      <c r="R243" s="1">
        <v>61.754999999999995</v>
      </c>
      <c r="T243" t="str">
        <f t="shared" ref="T243:U243" si="237">Q241</f>
        <v>Byron Acarson</v>
      </c>
      <c r="U243">
        <f t="shared" si="237"/>
        <v>63.249999999999993</v>
      </c>
    </row>
    <row r="244" spans="17:21" x14ac:dyDescent="0.25">
      <c r="Q244" s="3" t="s">
        <v>42</v>
      </c>
      <c r="R244" s="1">
        <v>61.15</v>
      </c>
      <c r="T244" t="str">
        <f t="shared" ref="T244:U244" si="238">Q242</f>
        <v>Dianne Chardin</v>
      </c>
      <c r="U244">
        <f t="shared" si="238"/>
        <v>63.249999999999993</v>
      </c>
    </row>
    <row r="245" spans="17:21" x14ac:dyDescent="0.25">
      <c r="Q245" s="3" t="s">
        <v>767</v>
      </c>
      <c r="R245" s="1">
        <v>60.75</v>
      </c>
      <c r="T245" t="str">
        <f t="shared" ref="T245:U245" si="239">Q243</f>
        <v>Paulo Yea</v>
      </c>
      <c r="U245">
        <f t="shared" si="239"/>
        <v>61.754999999999995</v>
      </c>
    </row>
    <row r="246" spans="17:21" x14ac:dyDescent="0.25">
      <c r="Q246" s="3" t="s">
        <v>625</v>
      </c>
      <c r="R246" s="1">
        <v>59.75</v>
      </c>
      <c r="T246" t="str">
        <f t="shared" ref="T246:U246" si="240">Q244</f>
        <v>Aloisia Allner</v>
      </c>
      <c r="U246">
        <f t="shared" si="240"/>
        <v>61.15</v>
      </c>
    </row>
    <row r="247" spans="17:21" x14ac:dyDescent="0.25">
      <c r="Q247" s="3" t="s">
        <v>634</v>
      </c>
      <c r="R247" s="1">
        <v>59.75</v>
      </c>
      <c r="T247" t="str">
        <f t="shared" ref="T247:U247" si="241">Q245</f>
        <v>Russell Donet</v>
      </c>
      <c r="U247">
        <f t="shared" si="241"/>
        <v>60.75</v>
      </c>
    </row>
    <row r="248" spans="17:21" x14ac:dyDescent="0.25">
      <c r="Q248" s="3" t="s">
        <v>575</v>
      </c>
      <c r="R248" s="1">
        <v>59.75</v>
      </c>
      <c r="T248" t="str">
        <f t="shared" ref="T248:U248" si="242">Q246</f>
        <v>Minetta Ackrill</v>
      </c>
      <c r="U248">
        <f t="shared" si="242"/>
        <v>59.75</v>
      </c>
    </row>
    <row r="249" spans="17:21" x14ac:dyDescent="0.25">
      <c r="Q249" s="3" t="s">
        <v>353</v>
      </c>
      <c r="R249" s="1">
        <v>59.75</v>
      </c>
      <c r="T249" t="str">
        <f t="shared" ref="T249:U249" si="243">Q247</f>
        <v>Monique Canty</v>
      </c>
      <c r="U249">
        <f t="shared" si="243"/>
        <v>59.75</v>
      </c>
    </row>
    <row r="250" spans="17:21" x14ac:dyDescent="0.25">
      <c r="Q250" s="3" t="s">
        <v>388</v>
      </c>
      <c r="R250" s="1">
        <v>59.75</v>
      </c>
      <c r="T250" t="str">
        <f t="shared" ref="T250:U250" si="244">Q248</f>
        <v>Mab Blakemore</v>
      </c>
      <c r="U250">
        <f t="shared" si="244"/>
        <v>59.75</v>
      </c>
    </row>
    <row r="251" spans="17:21" x14ac:dyDescent="0.25">
      <c r="Q251" s="3" t="s">
        <v>48</v>
      </c>
      <c r="R251" s="1">
        <v>59.75</v>
      </c>
      <c r="T251" t="str">
        <f t="shared" ref="T251:U251" si="245">Q249</f>
        <v>Gale Heindrick</v>
      </c>
      <c r="U251">
        <f t="shared" si="245"/>
        <v>59.75</v>
      </c>
    </row>
    <row r="252" spans="17:21" x14ac:dyDescent="0.25">
      <c r="Q252" s="3" t="s">
        <v>70</v>
      </c>
      <c r="R252" s="1">
        <v>59.75</v>
      </c>
      <c r="T252" t="str">
        <f t="shared" ref="T252:U252" si="246">Q250</f>
        <v>Gustaf Ciccotti</v>
      </c>
      <c r="U252">
        <f t="shared" si="246"/>
        <v>59.75</v>
      </c>
    </row>
    <row r="253" spans="17:21" x14ac:dyDescent="0.25">
      <c r="Q253" s="3" t="s">
        <v>296</v>
      </c>
      <c r="R253" s="1">
        <v>59.75</v>
      </c>
      <c r="T253" t="str">
        <f t="shared" ref="T253:U253" si="247">Q251</f>
        <v>Ameline Snazle</v>
      </c>
      <c r="U253">
        <f t="shared" si="247"/>
        <v>59.75</v>
      </c>
    </row>
    <row r="254" spans="17:21" x14ac:dyDescent="0.25">
      <c r="Q254" s="3" t="s">
        <v>674</v>
      </c>
      <c r="R254" s="1">
        <v>59.699999999999996</v>
      </c>
      <c r="T254" t="str">
        <f t="shared" ref="T254:U254" si="248">Q252</f>
        <v>Arabella Fransewich</v>
      </c>
      <c r="U254">
        <f t="shared" si="248"/>
        <v>59.75</v>
      </c>
    </row>
    <row r="255" spans="17:21" x14ac:dyDescent="0.25">
      <c r="Q255" s="3" t="s">
        <v>827</v>
      </c>
      <c r="R255" s="1">
        <v>59.699999999999996</v>
      </c>
      <c r="T255" t="str">
        <f t="shared" ref="T255:U255" si="249">Q253</f>
        <v>Elonore Goodings</v>
      </c>
      <c r="U255">
        <f t="shared" si="249"/>
        <v>59.75</v>
      </c>
    </row>
    <row r="256" spans="17:21" x14ac:dyDescent="0.25">
      <c r="Q256" s="3" t="s">
        <v>358</v>
      </c>
      <c r="R256" s="1">
        <v>59.699999999999996</v>
      </c>
      <c r="T256" t="str">
        <f t="shared" ref="T256:U256" si="250">Q254</f>
        <v>Nissie Rudland</v>
      </c>
      <c r="U256">
        <f t="shared" si="250"/>
        <v>59.699999999999996</v>
      </c>
    </row>
    <row r="257" spans="17:21" x14ac:dyDescent="0.25">
      <c r="Q257" s="3" t="s">
        <v>437</v>
      </c>
      <c r="R257" s="1">
        <v>59.699999999999996</v>
      </c>
      <c r="T257" t="str">
        <f t="shared" ref="T257:U257" si="251">Q255</f>
        <v>Starr Arpin</v>
      </c>
      <c r="U257">
        <f t="shared" si="251"/>
        <v>59.699999999999996</v>
      </c>
    </row>
    <row r="258" spans="17:21" x14ac:dyDescent="0.25">
      <c r="Q258" s="3" t="s">
        <v>422</v>
      </c>
      <c r="R258" s="1">
        <v>59.699999999999996</v>
      </c>
      <c r="T258" t="str">
        <f t="shared" ref="T258:U258" si="252">Q256</f>
        <v>Gay Rizzello</v>
      </c>
      <c r="U258">
        <f t="shared" si="252"/>
        <v>59.699999999999996</v>
      </c>
    </row>
    <row r="259" spans="17:21" x14ac:dyDescent="0.25">
      <c r="Q259" s="3" t="s">
        <v>273</v>
      </c>
      <c r="R259" s="1">
        <v>59.699999999999996</v>
      </c>
      <c r="T259" t="str">
        <f t="shared" ref="T259:U259" si="253">Q257</f>
        <v>Isac Jesper</v>
      </c>
      <c r="U259">
        <f t="shared" si="253"/>
        <v>59.699999999999996</v>
      </c>
    </row>
    <row r="260" spans="17:21" x14ac:dyDescent="0.25">
      <c r="Q260" s="3" t="s">
        <v>688</v>
      </c>
      <c r="R260" s="1">
        <v>59.569999999999993</v>
      </c>
      <c r="T260" t="str">
        <f t="shared" ref="T260:U260" si="254">Q258</f>
        <v>Hy Zanetto</v>
      </c>
      <c r="U260">
        <f t="shared" si="254"/>
        <v>59.699999999999996</v>
      </c>
    </row>
    <row r="261" spans="17:21" x14ac:dyDescent="0.25">
      <c r="Q261" s="3" t="s">
        <v>350</v>
      </c>
      <c r="R261" s="1">
        <v>59.569999999999993</v>
      </c>
      <c r="T261" t="str">
        <f t="shared" ref="T261:U261" si="255">Q259</f>
        <v>Donny Fries</v>
      </c>
      <c r="U261">
        <f t="shared" si="255"/>
        <v>59.699999999999996</v>
      </c>
    </row>
    <row r="262" spans="17:21" x14ac:dyDescent="0.25">
      <c r="Q262" s="3" t="s">
        <v>450</v>
      </c>
      <c r="R262" s="1">
        <v>59.569999999999993</v>
      </c>
      <c r="T262" t="str">
        <f t="shared" ref="T262:U262" si="256">Q260</f>
        <v>Orion Dyott</v>
      </c>
      <c r="U262">
        <f t="shared" si="256"/>
        <v>59.569999999999993</v>
      </c>
    </row>
    <row r="263" spans="17:21" x14ac:dyDescent="0.25">
      <c r="Q263" s="3" t="s">
        <v>911</v>
      </c>
      <c r="R263" s="1">
        <v>59.4</v>
      </c>
      <c r="T263" t="str">
        <f t="shared" ref="T263:U263" si="257">Q261</f>
        <v>Gabriel Starcks</v>
      </c>
      <c r="U263">
        <f t="shared" si="257"/>
        <v>59.569999999999993</v>
      </c>
    </row>
    <row r="264" spans="17:21" x14ac:dyDescent="0.25">
      <c r="Q264" s="3" t="s">
        <v>763</v>
      </c>
      <c r="R264" s="1">
        <v>59.4</v>
      </c>
      <c r="T264" t="str">
        <f t="shared" ref="T264:U264" si="258">Q262</f>
        <v>Janella Eden</v>
      </c>
      <c r="U264">
        <f t="shared" si="258"/>
        <v>59.569999999999993</v>
      </c>
    </row>
    <row r="265" spans="17:21" x14ac:dyDescent="0.25">
      <c r="Q265" s="3" t="s">
        <v>497</v>
      </c>
      <c r="R265" s="1">
        <v>59.4</v>
      </c>
      <c r="T265" t="str">
        <f t="shared" ref="T265:U265" si="259">Q263</f>
        <v>Wyatan Fetherston</v>
      </c>
      <c r="U265">
        <f t="shared" si="259"/>
        <v>59.4</v>
      </c>
    </row>
    <row r="266" spans="17:21" x14ac:dyDescent="0.25">
      <c r="Q266" s="3" t="s">
        <v>127</v>
      </c>
      <c r="R266" s="1">
        <v>59.4</v>
      </c>
      <c r="T266" t="str">
        <f t="shared" ref="T266:U266" si="260">Q264</f>
        <v>Rozele Relton</v>
      </c>
      <c r="U266">
        <f t="shared" si="260"/>
        <v>59.4</v>
      </c>
    </row>
    <row r="267" spans="17:21" x14ac:dyDescent="0.25">
      <c r="Q267" s="3" t="s">
        <v>254</v>
      </c>
      <c r="R267" s="1">
        <v>59.4</v>
      </c>
      <c r="T267" t="str">
        <f t="shared" ref="T267:U267" si="261">Q265</f>
        <v>Karlan Karby</v>
      </c>
      <c r="U267">
        <f t="shared" si="261"/>
        <v>59.4</v>
      </c>
    </row>
    <row r="268" spans="17:21" x14ac:dyDescent="0.25">
      <c r="Q268" s="3" t="s">
        <v>737</v>
      </c>
      <c r="R268" s="1">
        <v>58.2</v>
      </c>
      <c r="T268" t="str">
        <f t="shared" ref="T268:U268" si="262">Q266</f>
        <v>Bobbe Piggott</v>
      </c>
      <c r="U268">
        <f t="shared" si="262"/>
        <v>59.4</v>
      </c>
    </row>
    <row r="269" spans="17:21" x14ac:dyDescent="0.25">
      <c r="Q269" s="3" t="s">
        <v>538</v>
      </c>
      <c r="R269" s="1">
        <v>58.2</v>
      </c>
      <c r="T269" t="str">
        <f t="shared" ref="T269:U269" si="263">Q267</f>
        <v>Devon Magowan</v>
      </c>
      <c r="U269">
        <f t="shared" si="263"/>
        <v>59.4</v>
      </c>
    </row>
    <row r="270" spans="17:21" x14ac:dyDescent="0.25">
      <c r="Q270" s="3" t="s">
        <v>35</v>
      </c>
      <c r="R270" s="1">
        <v>58.2</v>
      </c>
      <c r="T270" t="str">
        <f t="shared" ref="T270:U270" si="264">Q268</f>
        <v>Reese Lidgey</v>
      </c>
      <c r="U270">
        <f t="shared" si="264"/>
        <v>58.2</v>
      </c>
    </row>
    <row r="271" spans="17:21" x14ac:dyDescent="0.25">
      <c r="Q271" s="3" t="s">
        <v>729</v>
      </c>
      <c r="R271" s="1">
        <v>57.06</v>
      </c>
      <c r="T271" t="str">
        <f t="shared" ref="T271:U271" si="265">Q269</f>
        <v>Leia Kernan</v>
      </c>
      <c r="U271">
        <f t="shared" si="265"/>
        <v>58.2</v>
      </c>
    </row>
    <row r="272" spans="17:21" x14ac:dyDescent="0.25">
      <c r="Q272" s="3" t="s">
        <v>867</v>
      </c>
      <c r="R272" s="1">
        <v>57.06</v>
      </c>
      <c r="T272" t="str">
        <f t="shared" ref="T272:U272" si="266">Q270</f>
        <v>Alfy Snowding</v>
      </c>
      <c r="U272">
        <f t="shared" si="266"/>
        <v>58.2</v>
      </c>
    </row>
    <row r="273" spans="17:21" x14ac:dyDescent="0.25">
      <c r="Q273" s="3" t="s">
        <v>502</v>
      </c>
      <c r="R273" s="1">
        <v>57.06</v>
      </c>
      <c r="T273" t="str">
        <f t="shared" ref="T273:U273" si="267">Q271</f>
        <v>Raphaela Schankelborg</v>
      </c>
      <c r="U273">
        <f t="shared" si="267"/>
        <v>57.06</v>
      </c>
    </row>
    <row r="274" spans="17:21" x14ac:dyDescent="0.25">
      <c r="Q274" s="3" t="s">
        <v>25</v>
      </c>
      <c r="R274" s="1">
        <v>57.06</v>
      </c>
      <c r="T274" t="str">
        <f t="shared" ref="T274:U274" si="268">Q272</f>
        <v>Una Welberry</v>
      </c>
      <c r="U274">
        <f t="shared" si="268"/>
        <v>57.06</v>
      </c>
    </row>
    <row r="275" spans="17:21" x14ac:dyDescent="0.25">
      <c r="Q275" s="3" t="s">
        <v>567</v>
      </c>
      <c r="R275" s="1">
        <v>56.669999999999995</v>
      </c>
      <c r="T275" t="str">
        <f t="shared" ref="T275:U275" si="269">Q273</f>
        <v>Keefer Cake</v>
      </c>
      <c r="U275">
        <f t="shared" si="269"/>
        <v>57.06</v>
      </c>
    </row>
    <row r="276" spans="17:21" x14ac:dyDescent="0.25">
      <c r="Q276" s="3" t="s">
        <v>741</v>
      </c>
      <c r="R276" s="1">
        <v>56.25</v>
      </c>
      <c r="T276" t="str">
        <f t="shared" ref="T276:U276" si="270">Q274</f>
        <v>Adriana Lazarus</v>
      </c>
      <c r="U276">
        <f t="shared" si="270"/>
        <v>57.06</v>
      </c>
    </row>
    <row r="277" spans="17:21" x14ac:dyDescent="0.25">
      <c r="Q277" s="3" t="s">
        <v>346</v>
      </c>
      <c r="R277" s="1">
        <v>56.25</v>
      </c>
      <c r="T277" t="str">
        <f t="shared" ref="T277:U277" si="271">Q275</f>
        <v>Lucienne Scargle</v>
      </c>
      <c r="U277">
        <f t="shared" si="271"/>
        <v>56.669999999999995</v>
      </c>
    </row>
    <row r="278" spans="17:21" x14ac:dyDescent="0.25">
      <c r="Q278" s="3" t="s">
        <v>59</v>
      </c>
      <c r="R278" s="1">
        <v>56.25</v>
      </c>
      <c r="T278" t="str">
        <f t="shared" ref="T278:U278" si="272">Q276</f>
        <v>Rem Furman</v>
      </c>
      <c r="U278">
        <f t="shared" si="272"/>
        <v>56.25</v>
      </c>
    </row>
    <row r="279" spans="17:21" x14ac:dyDescent="0.25">
      <c r="Q279" s="3" t="s">
        <v>151</v>
      </c>
      <c r="R279" s="1">
        <v>56.25</v>
      </c>
      <c r="T279" t="str">
        <f t="shared" ref="T279:U279" si="273">Q277</f>
        <v>Freeland Missenden</v>
      </c>
      <c r="U279">
        <f t="shared" si="273"/>
        <v>56.25</v>
      </c>
    </row>
    <row r="280" spans="17:21" x14ac:dyDescent="0.25">
      <c r="Q280" s="3" t="s">
        <v>120</v>
      </c>
      <c r="R280" s="1">
        <v>55.89</v>
      </c>
      <c r="T280" t="str">
        <f t="shared" ref="T280:U280" si="274">Q278</f>
        <v>Anjanette Goldie</v>
      </c>
      <c r="U280">
        <f t="shared" si="274"/>
        <v>56.25</v>
      </c>
    </row>
    <row r="281" spans="17:21" x14ac:dyDescent="0.25">
      <c r="Q281" s="3" t="s">
        <v>90</v>
      </c>
      <c r="R281" s="1">
        <v>55</v>
      </c>
      <c r="T281" t="str">
        <f t="shared" ref="T281:U281" si="275">Q279</f>
        <v>Carlie Linskill</v>
      </c>
      <c r="U281">
        <f t="shared" si="275"/>
        <v>56.25</v>
      </c>
    </row>
    <row r="282" spans="17:21" x14ac:dyDescent="0.25">
      <c r="Q282" s="3" t="s">
        <v>315</v>
      </c>
      <c r="R282" s="1">
        <v>55</v>
      </c>
      <c r="T282" t="str">
        <f t="shared" ref="T282:U282" si="276">Q280</f>
        <v>Billy Neiland</v>
      </c>
      <c r="U282">
        <f t="shared" si="276"/>
        <v>55.89</v>
      </c>
    </row>
    <row r="283" spans="17:21" x14ac:dyDescent="0.25">
      <c r="Q283" s="3" t="s">
        <v>424</v>
      </c>
      <c r="R283" s="1">
        <v>54.969999999999992</v>
      </c>
      <c r="T283" t="str">
        <f t="shared" ref="T283:U283" si="277">Q281</f>
        <v>Barnett Sillis</v>
      </c>
      <c r="U283">
        <f t="shared" si="277"/>
        <v>55</v>
      </c>
    </row>
    <row r="284" spans="17:21" x14ac:dyDescent="0.25">
      <c r="Q284" s="3" t="s">
        <v>576</v>
      </c>
      <c r="R284" s="1">
        <v>54.969999999999992</v>
      </c>
      <c r="T284" t="str">
        <f t="shared" ref="T284:U284" si="278">Q282</f>
        <v>Eustace Stenton</v>
      </c>
      <c r="U284">
        <f t="shared" si="278"/>
        <v>55</v>
      </c>
    </row>
    <row r="285" spans="17:21" x14ac:dyDescent="0.25">
      <c r="Q285" s="3" t="s">
        <v>623</v>
      </c>
      <c r="R285" s="1">
        <v>53.699999999999996</v>
      </c>
      <c r="T285" t="str">
        <f t="shared" ref="T285:U285" si="279">Q283</f>
        <v>Ilaire Sprakes</v>
      </c>
      <c r="U285">
        <f t="shared" si="279"/>
        <v>54.969999999999992</v>
      </c>
    </row>
    <row r="286" spans="17:21" x14ac:dyDescent="0.25">
      <c r="Q286" s="3" t="s">
        <v>515</v>
      </c>
      <c r="R286" s="1">
        <v>53.699999999999996</v>
      </c>
      <c r="T286" t="str">
        <f t="shared" ref="T286:U286" si="280">Q284</f>
        <v>Madelaine Sharples</v>
      </c>
      <c r="U286">
        <f t="shared" si="280"/>
        <v>54.969999999999992</v>
      </c>
    </row>
    <row r="287" spans="17:21" x14ac:dyDescent="0.25">
      <c r="Q287" s="3" t="s">
        <v>626</v>
      </c>
      <c r="R287" s="1">
        <v>53.46</v>
      </c>
      <c r="T287" t="str">
        <f t="shared" ref="T287:U287" si="281">Q285</f>
        <v>Mina Elstone</v>
      </c>
      <c r="U287">
        <f t="shared" si="281"/>
        <v>53.699999999999996</v>
      </c>
    </row>
    <row r="288" spans="17:21" x14ac:dyDescent="0.25">
      <c r="Q288" s="3" t="s">
        <v>820</v>
      </c>
      <c r="R288" s="1">
        <v>53.46</v>
      </c>
      <c r="T288" t="str">
        <f t="shared" ref="T288:U288" si="282">Q286</f>
        <v>Kipper Boorn</v>
      </c>
      <c r="U288">
        <f t="shared" si="282"/>
        <v>53.699999999999996</v>
      </c>
    </row>
    <row r="289" spans="17:21" x14ac:dyDescent="0.25">
      <c r="Q289" s="3" t="s">
        <v>869</v>
      </c>
      <c r="R289" s="1">
        <v>53.46</v>
      </c>
      <c r="T289" t="str">
        <f t="shared" ref="T289:U289" si="283">Q287</f>
        <v>Minette Whellans</v>
      </c>
      <c r="U289">
        <f t="shared" si="283"/>
        <v>53.46</v>
      </c>
    </row>
    <row r="290" spans="17:21" x14ac:dyDescent="0.25">
      <c r="Q290" s="3" t="s">
        <v>539</v>
      </c>
      <c r="R290" s="1">
        <v>53.46</v>
      </c>
      <c r="T290" t="str">
        <f t="shared" ref="T290:U290" si="284">Q288</f>
        <v>Spencer Wastell</v>
      </c>
      <c r="U290">
        <f t="shared" si="284"/>
        <v>53.46</v>
      </c>
    </row>
    <row r="291" spans="17:21" x14ac:dyDescent="0.25">
      <c r="Q291" s="3" t="s">
        <v>601</v>
      </c>
      <c r="R291" s="1">
        <v>53.46</v>
      </c>
      <c r="T291" t="str">
        <f t="shared" ref="T291:U291" si="285">Q289</f>
        <v>Val Wakelin</v>
      </c>
      <c r="U291">
        <f t="shared" si="285"/>
        <v>53.46</v>
      </c>
    </row>
    <row r="292" spans="17:21" x14ac:dyDescent="0.25">
      <c r="Q292" s="3" t="s">
        <v>99</v>
      </c>
      <c r="R292" s="1">
        <v>53.46</v>
      </c>
      <c r="T292" t="str">
        <f t="shared" ref="T292:U292" si="286">Q290</f>
        <v>Lem Pennacci</v>
      </c>
      <c r="U292">
        <f t="shared" si="286"/>
        <v>53.46</v>
      </c>
    </row>
    <row r="293" spans="17:21" x14ac:dyDescent="0.25">
      <c r="Q293" s="3" t="s">
        <v>342</v>
      </c>
      <c r="R293" s="1">
        <v>52.38</v>
      </c>
      <c r="T293" t="str">
        <f t="shared" ref="T293:U293" si="287">Q291</f>
        <v>Marty Kidstoun</v>
      </c>
      <c r="U293">
        <f t="shared" si="287"/>
        <v>53.46</v>
      </c>
    </row>
    <row r="294" spans="17:21" x14ac:dyDescent="0.25">
      <c r="Q294" s="3" t="s">
        <v>469</v>
      </c>
      <c r="R294" s="1">
        <v>52.38</v>
      </c>
      <c r="T294" t="str">
        <f t="shared" ref="T294:U294" si="288">Q292</f>
        <v>Bearnard Wardell</v>
      </c>
      <c r="U294">
        <f t="shared" si="288"/>
        <v>53.46</v>
      </c>
    </row>
    <row r="295" spans="17:21" x14ac:dyDescent="0.25">
      <c r="Q295" s="3" t="s">
        <v>16</v>
      </c>
      <c r="R295" s="1">
        <v>52.125</v>
      </c>
      <c r="T295" t="str">
        <f t="shared" ref="T295:U295" si="289">Q293</f>
        <v>Franny Kienlein</v>
      </c>
      <c r="U295">
        <f t="shared" si="289"/>
        <v>52.38</v>
      </c>
    </row>
    <row r="296" spans="17:21" x14ac:dyDescent="0.25">
      <c r="Q296" s="3" t="s">
        <v>902</v>
      </c>
      <c r="R296" s="1">
        <v>51.8</v>
      </c>
      <c r="T296" t="str">
        <f t="shared" ref="T296:U296" si="290">Q294</f>
        <v>Jereme Gippes</v>
      </c>
      <c r="U296">
        <f t="shared" si="290"/>
        <v>52.38</v>
      </c>
    </row>
    <row r="297" spans="17:21" x14ac:dyDescent="0.25">
      <c r="Q297" s="3" t="s">
        <v>831</v>
      </c>
      <c r="R297" s="1">
        <v>51.8</v>
      </c>
      <c r="T297" t="str">
        <f t="shared" ref="T297:U297" si="291">Q295</f>
        <v>Abrahan Mussen</v>
      </c>
      <c r="U297">
        <f t="shared" si="291"/>
        <v>52.125</v>
      </c>
    </row>
    <row r="298" spans="17:21" x14ac:dyDescent="0.25">
      <c r="Q298" s="3" t="s">
        <v>566</v>
      </c>
      <c r="R298" s="1">
        <v>51.8</v>
      </c>
      <c r="T298" t="str">
        <f t="shared" ref="T298:U298" si="292">Q296</f>
        <v>Willey Romao</v>
      </c>
      <c r="U298">
        <f t="shared" si="292"/>
        <v>51.8</v>
      </c>
    </row>
    <row r="299" spans="17:21" x14ac:dyDescent="0.25">
      <c r="Q299" s="3" t="s">
        <v>848</v>
      </c>
      <c r="R299" s="1">
        <v>51.749999999999993</v>
      </c>
      <c r="T299" t="str">
        <f t="shared" ref="T299:U299" si="293">Q297</f>
        <v>Sylas Jennaroy</v>
      </c>
      <c r="U299">
        <f t="shared" si="293"/>
        <v>51.8</v>
      </c>
    </row>
    <row r="300" spans="17:21" x14ac:dyDescent="0.25">
      <c r="Q300" s="3" t="s">
        <v>714</v>
      </c>
      <c r="R300" s="1">
        <v>51.749999999999993</v>
      </c>
      <c r="T300" t="str">
        <f t="shared" ref="T300:U300" si="294">Q298</f>
        <v>Loydie Langlais</v>
      </c>
      <c r="U300">
        <f t="shared" si="294"/>
        <v>51.8</v>
      </c>
    </row>
    <row r="301" spans="17:21" x14ac:dyDescent="0.25">
      <c r="Q301" s="3" t="s">
        <v>326</v>
      </c>
      <c r="R301" s="1">
        <v>51.749999999999993</v>
      </c>
      <c r="T301" t="str">
        <f t="shared" ref="T301:U301" si="295">Q299</f>
        <v>Tess Bennison</v>
      </c>
      <c r="U301">
        <f t="shared" si="295"/>
        <v>51.749999999999993</v>
      </c>
    </row>
    <row r="302" spans="17:21" x14ac:dyDescent="0.25">
      <c r="Q302" s="3" t="s">
        <v>362</v>
      </c>
      <c r="R302" s="1">
        <v>51.749999999999993</v>
      </c>
      <c r="T302" t="str">
        <f t="shared" ref="T302:U302" si="296">Q300</f>
        <v>Portie Cutchie</v>
      </c>
      <c r="U302">
        <f t="shared" si="296"/>
        <v>51.749999999999993</v>
      </c>
    </row>
    <row r="303" spans="17:21" x14ac:dyDescent="0.25">
      <c r="Q303" s="3" t="s">
        <v>527</v>
      </c>
      <c r="R303" s="1">
        <v>51.749999999999993</v>
      </c>
      <c r="T303" t="str">
        <f t="shared" ref="T303:U303" si="297">Q301</f>
        <v>Felice Miell</v>
      </c>
      <c r="U303">
        <f t="shared" si="297"/>
        <v>51.749999999999993</v>
      </c>
    </row>
    <row r="304" spans="17:21" x14ac:dyDescent="0.25">
      <c r="Q304" s="3" t="s">
        <v>289</v>
      </c>
      <c r="R304" s="1">
        <v>51.749999999999993</v>
      </c>
      <c r="T304" t="str">
        <f t="shared" ref="T304:U304" si="298">Q302</f>
        <v>Gerard Pirdy</v>
      </c>
      <c r="U304">
        <f t="shared" si="298"/>
        <v>51.749999999999993</v>
      </c>
    </row>
    <row r="305" spans="17:21" x14ac:dyDescent="0.25">
      <c r="Q305" s="3" t="s">
        <v>292</v>
      </c>
      <c r="R305" s="1">
        <v>51.749999999999993</v>
      </c>
      <c r="T305" t="str">
        <f t="shared" ref="T305:U305" si="299">Q303</f>
        <v>Kylie Mowat</v>
      </c>
      <c r="U305">
        <f t="shared" si="299"/>
        <v>51.749999999999993</v>
      </c>
    </row>
    <row r="306" spans="17:21" x14ac:dyDescent="0.25">
      <c r="Q306" s="3" t="s">
        <v>759</v>
      </c>
      <c r="R306" s="1">
        <v>49.75</v>
      </c>
      <c r="T306" t="str">
        <f t="shared" ref="T306:U306" si="300">Q304</f>
        <v>Edin Mathe</v>
      </c>
      <c r="U306">
        <f t="shared" si="300"/>
        <v>51.749999999999993</v>
      </c>
    </row>
    <row r="307" spans="17:21" x14ac:dyDescent="0.25">
      <c r="Q307" s="3" t="s">
        <v>266</v>
      </c>
      <c r="R307" s="1">
        <v>49.75</v>
      </c>
      <c r="T307" t="str">
        <f t="shared" ref="T307:U307" si="301">Q305</f>
        <v>Elden Andriessen</v>
      </c>
      <c r="U307">
        <f t="shared" si="301"/>
        <v>51.749999999999993</v>
      </c>
    </row>
    <row r="308" spans="17:21" x14ac:dyDescent="0.25">
      <c r="Q308" s="3" t="s">
        <v>131</v>
      </c>
      <c r="R308" s="1">
        <v>49.75</v>
      </c>
      <c r="T308" t="str">
        <f t="shared" ref="T308:U308" si="302">Q306</f>
        <v>Rosaleen Scholar</v>
      </c>
      <c r="U308">
        <f t="shared" si="302"/>
        <v>49.75</v>
      </c>
    </row>
    <row r="309" spans="17:21" x14ac:dyDescent="0.25">
      <c r="Q309" s="3" t="s">
        <v>563</v>
      </c>
      <c r="R309" s="1">
        <v>49.5</v>
      </c>
      <c r="T309" t="str">
        <f t="shared" ref="T309:U309" si="303">Q307</f>
        <v>Domeniga Duke</v>
      </c>
      <c r="U309">
        <f t="shared" si="303"/>
        <v>49.75</v>
      </c>
    </row>
    <row r="310" spans="17:21" x14ac:dyDescent="0.25">
      <c r="Q310" s="3" t="s">
        <v>15</v>
      </c>
      <c r="R310" s="1">
        <v>48.6</v>
      </c>
      <c r="T310" t="str">
        <f t="shared" ref="T310:U310" si="304">Q308</f>
        <v>Borg Daile</v>
      </c>
      <c r="U310">
        <f t="shared" si="304"/>
        <v>49.75</v>
      </c>
    </row>
    <row r="311" spans="17:21" x14ac:dyDescent="0.25">
      <c r="Q311" s="3" t="s">
        <v>356</v>
      </c>
      <c r="R311" s="1">
        <v>47.8</v>
      </c>
      <c r="T311" t="str">
        <f t="shared" ref="T311:U311" si="305">Q309</f>
        <v>Lorin Guerrazzi</v>
      </c>
      <c r="U311">
        <f t="shared" si="305"/>
        <v>49.5</v>
      </c>
    </row>
    <row r="312" spans="17:21" x14ac:dyDescent="0.25">
      <c r="Q312" s="3" t="s">
        <v>365</v>
      </c>
      <c r="R312" s="1">
        <v>47.8</v>
      </c>
      <c r="T312" t="str">
        <f t="shared" ref="T312:U312" si="306">Q310</f>
        <v>Abraham Coleman</v>
      </c>
      <c r="U312">
        <f t="shared" si="306"/>
        <v>48.6</v>
      </c>
    </row>
    <row r="313" spans="17:21" x14ac:dyDescent="0.25">
      <c r="Q313" s="3" t="s">
        <v>523</v>
      </c>
      <c r="R313" s="1">
        <v>47.8</v>
      </c>
      <c r="T313" t="str">
        <f t="shared" ref="T313:U313" si="307">Q311</f>
        <v>Gaspar McGavin</v>
      </c>
      <c r="U313">
        <f t="shared" si="307"/>
        <v>47.8</v>
      </c>
    </row>
    <row r="314" spans="17:21" x14ac:dyDescent="0.25">
      <c r="Q314" s="3" t="s">
        <v>198</v>
      </c>
      <c r="R314" s="1">
        <v>47.8</v>
      </c>
      <c r="T314" t="str">
        <f t="shared" ref="T314:U314" si="308">Q312</f>
        <v>Giana Tonnesen</v>
      </c>
      <c r="U314">
        <f t="shared" si="308"/>
        <v>47.8</v>
      </c>
    </row>
    <row r="315" spans="17:21" x14ac:dyDescent="0.25">
      <c r="Q315" s="3" t="s">
        <v>34</v>
      </c>
      <c r="R315" s="1">
        <v>47.8</v>
      </c>
      <c r="T315" t="str">
        <f t="shared" ref="T315:U315" si="309">Q313</f>
        <v>Koressa O'Geneay</v>
      </c>
      <c r="U315">
        <f t="shared" si="309"/>
        <v>47.8</v>
      </c>
    </row>
    <row r="316" spans="17:21" x14ac:dyDescent="0.25">
      <c r="Q316" s="3" t="s">
        <v>815</v>
      </c>
      <c r="R316" s="1">
        <v>47.55</v>
      </c>
      <c r="T316" t="str">
        <f t="shared" ref="T316:U316" si="310">Q314</f>
        <v>Cletis Giacomazzo</v>
      </c>
      <c r="U316">
        <f t="shared" si="310"/>
        <v>47.8</v>
      </c>
    </row>
    <row r="317" spans="17:21" x14ac:dyDescent="0.25">
      <c r="Q317" s="3" t="s">
        <v>847</v>
      </c>
      <c r="R317" s="1">
        <v>47.55</v>
      </c>
      <c r="T317" t="str">
        <f t="shared" ref="T317:U317" si="311">Q315</f>
        <v>Alf Housaman</v>
      </c>
      <c r="U317">
        <f t="shared" si="311"/>
        <v>47.8</v>
      </c>
    </row>
    <row r="318" spans="17:21" x14ac:dyDescent="0.25">
      <c r="Q318" s="3" t="s">
        <v>773</v>
      </c>
      <c r="R318" s="1">
        <v>47.55</v>
      </c>
      <c r="T318" t="str">
        <f t="shared" ref="T318:U318" si="312">Q316</f>
        <v>Skelly Dolohunty</v>
      </c>
      <c r="U318">
        <f t="shared" si="312"/>
        <v>47.55</v>
      </c>
    </row>
    <row r="319" spans="17:21" x14ac:dyDescent="0.25">
      <c r="Q319" s="3" t="s">
        <v>396</v>
      </c>
      <c r="R319" s="1">
        <v>47.55</v>
      </c>
      <c r="T319" t="str">
        <f t="shared" ref="T319:U319" si="313">Q317</f>
        <v>Tess Benediktovich</v>
      </c>
      <c r="U319">
        <f t="shared" si="313"/>
        <v>47.55</v>
      </c>
    </row>
    <row r="320" spans="17:21" x14ac:dyDescent="0.25">
      <c r="Q320" s="3" t="s">
        <v>348</v>
      </c>
      <c r="R320" s="1">
        <v>47.55</v>
      </c>
      <c r="T320" t="str">
        <f t="shared" ref="T320:U320" si="314">Q318</f>
        <v>Salomo Cushworth</v>
      </c>
      <c r="U320">
        <f t="shared" si="314"/>
        <v>47.55</v>
      </c>
    </row>
    <row r="321" spans="17:21" x14ac:dyDescent="0.25">
      <c r="Q321" s="3" t="s">
        <v>165</v>
      </c>
      <c r="R321" s="1">
        <v>47.55</v>
      </c>
      <c r="T321" t="str">
        <f t="shared" ref="T321:U321" si="315">Q319</f>
        <v>Hamish Skeech</v>
      </c>
      <c r="U321">
        <f t="shared" si="315"/>
        <v>47.55</v>
      </c>
    </row>
    <row r="322" spans="17:21" x14ac:dyDescent="0.25">
      <c r="Q322" s="3" t="s">
        <v>152</v>
      </c>
      <c r="R322" s="1">
        <v>47.55</v>
      </c>
      <c r="T322" t="str">
        <f t="shared" ref="T322:U322" si="316">Q320</f>
        <v>Gabey Cogan</v>
      </c>
      <c r="U322">
        <f t="shared" si="316"/>
        <v>47.55</v>
      </c>
    </row>
    <row r="323" spans="17:21" x14ac:dyDescent="0.25">
      <c r="Q323" s="3" t="s">
        <v>668</v>
      </c>
      <c r="R323" s="1">
        <v>47.139999999999993</v>
      </c>
      <c r="T323" t="str">
        <f t="shared" ref="T323:U323" si="317">Q321</f>
        <v>Celia Bakeup</v>
      </c>
      <c r="U323">
        <f t="shared" si="317"/>
        <v>47.55</v>
      </c>
    </row>
    <row r="324" spans="17:21" x14ac:dyDescent="0.25">
      <c r="Q324" s="3" t="s">
        <v>865</v>
      </c>
      <c r="R324" s="1">
        <v>47.115000000000002</v>
      </c>
      <c r="T324" t="str">
        <f t="shared" ref="T324:U324" si="318">Q322</f>
        <v>Carmelita Thowes</v>
      </c>
      <c r="U324">
        <f t="shared" si="318"/>
        <v>47.55</v>
      </c>
    </row>
    <row r="325" spans="17:21" x14ac:dyDescent="0.25">
      <c r="Q325" s="3" t="s">
        <v>148</v>
      </c>
      <c r="R325" s="1">
        <v>46.965000000000003</v>
      </c>
      <c r="T325" t="str">
        <f t="shared" ref="T325:U325" si="319">Q323</f>
        <v>Nicko Corps</v>
      </c>
      <c r="U325">
        <f t="shared" si="319"/>
        <v>47.139999999999993</v>
      </c>
    </row>
    <row r="326" spans="17:21" x14ac:dyDescent="0.25">
      <c r="Q326" s="3" t="s">
        <v>682</v>
      </c>
      <c r="R326" s="1">
        <v>46.83</v>
      </c>
      <c r="T326" t="str">
        <f t="shared" ref="T326:U326" si="320">Q324</f>
        <v>Tymon Zanetti</v>
      </c>
      <c r="U326">
        <f t="shared" si="320"/>
        <v>47.115000000000002</v>
      </c>
    </row>
    <row r="327" spans="17:21" x14ac:dyDescent="0.25">
      <c r="Q327" s="3" t="s">
        <v>851</v>
      </c>
      <c r="R327" s="1">
        <v>46.62</v>
      </c>
      <c r="T327" t="str">
        <f t="shared" ref="T327:U327" si="321">Q325</f>
        <v>Cam Jewster</v>
      </c>
      <c r="U327">
        <f t="shared" si="321"/>
        <v>46.965000000000003</v>
      </c>
    </row>
    <row r="328" spans="17:21" x14ac:dyDescent="0.25">
      <c r="Q328" s="3" t="s">
        <v>406</v>
      </c>
      <c r="R328" s="1">
        <v>46.62</v>
      </c>
      <c r="T328" t="str">
        <f t="shared" ref="T328:U328" si="322">Q326</f>
        <v>Odelia Skerme</v>
      </c>
      <c r="U328">
        <f t="shared" si="322"/>
        <v>46.83</v>
      </c>
    </row>
    <row r="329" spans="17:21" x14ac:dyDescent="0.25">
      <c r="Q329" s="3" t="s">
        <v>382</v>
      </c>
      <c r="R329" s="1">
        <v>46.62</v>
      </c>
      <c r="T329" t="str">
        <f t="shared" ref="T329:U329" si="323">Q327</f>
        <v>Theo Jacobovitz</v>
      </c>
      <c r="U329">
        <f t="shared" si="323"/>
        <v>46.62</v>
      </c>
    </row>
    <row r="330" spans="17:21" x14ac:dyDescent="0.25">
      <c r="Q330" s="3" t="s">
        <v>83</v>
      </c>
      <c r="R330" s="1">
        <v>46.62</v>
      </c>
      <c r="T330" t="str">
        <f t="shared" ref="T330:U330" si="324">Q328</f>
        <v>Heall Perris</v>
      </c>
      <c r="U330">
        <f t="shared" si="324"/>
        <v>46.62</v>
      </c>
    </row>
    <row r="331" spans="17:21" x14ac:dyDescent="0.25">
      <c r="Q331" s="3" t="s">
        <v>218</v>
      </c>
      <c r="R331" s="1">
        <v>46.62</v>
      </c>
      <c r="T331" t="str">
        <f t="shared" ref="T331:U331" si="325">Q329</f>
        <v>Gregorius Kislingbury</v>
      </c>
      <c r="U331">
        <f t="shared" si="325"/>
        <v>46.62</v>
      </c>
    </row>
    <row r="332" spans="17:21" x14ac:dyDescent="0.25">
      <c r="Q332" s="3" t="s">
        <v>337</v>
      </c>
      <c r="R332" s="1">
        <v>45.769999999999996</v>
      </c>
      <c r="T332" t="str">
        <f t="shared" ref="T332:U332" si="326">Q330</f>
        <v>Augustin Waterhouse</v>
      </c>
      <c r="U332">
        <f t="shared" si="326"/>
        <v>46.62</v>
      </c>
    </row>
    <row r="333" spans="17:21" x14ac:dyDescent="0.25">
      <c r="Q333" s="3" t="s">
        <v>490</v>
      </c>
      <c r="R333" s="1">
        <v>45.769999999999996</v>
      </c>
      <c r="T333" t="str">
        <f t="shared" ref="T333:U333" si="327">Q331</f>
        <v>Cortney Gibbonson</v>
      </c>
      <c r="U333">
        <f t="shared" si="327"/>
        <v>46.62</v>
      </c>
    </row>
    <row r="334" spans="17:21" x14ac:dyDescent="0.25">
      <c r="Q334" s="3" t="s">
        <v>347</v>
      </c>
      <c r="R334" s="1">
        <v>45.769999999999996</v>
      </c>
      <c r="T334" t="str">
        <f t="shared" ref="T334:U334" si="328">Q332</f>
        <v>Florinda Matusovsky</v>
      </c>
      <c r="U334">
        <f t="shared" si="328"/>
        <v>45.769999999999996</v>
      </c>
    </row>
    <row r="335" spans="17:21" x14ac:dyDescent="0.25">
      <c r="Q335" s="3" t="s">
        <v>608</v>
      </c>
      <c r="R335" s="1">
        <v>45.769999999999996</v>
      </c>
      <c r="T335" t="str">
        <f t="shared" ref="T335:U335" si="329">Q333</f>
        <v>Kaela Nottram</v>
      </c>
      <c r="U335">
        <f t="shared" si="329"/>
        <v>45.769999999999996</v>
      </c>
    </row>
    <row r="336" spans="17:21" x14ac:dyDescent="0.25">
      <c r="Q336" s="3" t="s">
        <v>524</v>
      </c>
      <c r="R336" s="1">
        <v>45.769999999999996</v>
      </c>
      <c r="T336" t="str">
        <f t="shared" ref="T336:U336" si="330">Q334</f>
        <v>Friederike Drysdale</v>
      </c>
      <c r="U336">
        <f t="shared" si="330"/>
        <v>45.769999999999996</v>
      </c>
    </row>
    <row r="337" spans="17:21" x14ac:dyDescent="0.25">
      <c r="Q337" s="3" t="s">
        <v>263</v>
      </c>
      <c r="R337" s="1">
        <v>45.769999999999996</v>
      </c>
      <c r="T337" t="str">
        <f t="shared" ref="T337:U337" si="331">Q335</f>
        <v>Maxim McParland</v>
      </c>
      <c r="U337">
        <f t="shared" si="331"/>
        <v>45.769999999999996</v>
      </c>
    </row>
    <row r="338" spans="17:21" x14ac:dyDescent="0.25">
      <c r="Q338" s="3" t="s">
        <v>183</v>
      </c>
      <c r="R338" s="1">
        <v>45.769999999999996</v>
      </c>
      <c r="T338" t="str">
        <f t="shared" ref="T338:U338" si="332">Q336</f>
        <v>Kris O'Cullen</v>
      </c>
      <c r="U338">
        <f t="shared" si="332"/>
        <v>45.769999999999996</v>
      </c>
    </row>
    <row r="339" spans="17:21" x14ac:dyDescent="0.25">
      <c r="Q339" s="3" t="s">
        <v>842</v>
      </c>
      <c r="R339" s="1">
        <v>45</v>
      </c>
      <c r="T339" t="str">
        <f t="shared" ref="T339:U339" si="333">Q337</f>
        <v>Dollie Gadsden</v>
      </c>
      <c r="U339">
        <f t="shared" si="333"/>
        <v>45.769999999999996</v>
      </c>
    </row>
    <row r="340" spans="17:21" x14ac:dyDescent="0.25">
      <c r="Q340" s="3" t="s">
        <v>624</v>
      </c>
      <c r="R340" s="1">
        <v>45</v>
      </c>
      <c r="T340" t="str">
        <f t="shared" ref="T340:U340" si="334">Q338</f>
        <v>Christel Speak</v>
      </c>
      <c r="U340">
        <f t="shared" si="334"/>
        <v>45.769999999999996</v>
      </c>
    </row>
    <row r="341" spans="17:21" x14ac:dyDescent="0.25">
      <c r="Q341" s="3" t="s">
        <v>756</v>
      </c>
      <c r="R341" s="1">
        <v>45</v>
      </c>
      <c r="T341" t="str">
        <f t="shared" ref="T341:U341" si="335">Q339</f>
        <v>Terencio O'Moylan</v>
      </c>
      <c r="U341">
        <f t="shared" si="335"/>
        <v>45</v>
      </c>
    </row>
    <row r="342" spans="17:21" x14ac:dyDescent="0.25">
      <c r="Q342" s="3" t="s">
        <v>69</v>
      </c>
      <c r="R342" s="1">
        <v>45</v>
      </c>
      <c r="T342" t="str">
        <f t="shared" ref="T342:U342" si="336">Q340</f>
        <v>Mindy Bogey</v>
      </c>
      <c r="U342">
        <f t="shared" si="336"/>
        <v>45</v>
      </c>
    </row>
    <row r="343" spans="17:21" x14ac:dyDescent="0.25">
      <c r="Q343" s="3" t="s">
        <v>726</v>
      </c>
      <c r="R343" s="1">
        <v>44.75</v>
      </c>
      <c r="T343" t="str">
        <f t="shared" ref="T343:U343" si="337">Q341</f>
        <v>Rodolfo Willoway</v>
      </c>
      <c r="U343">
        <f t="shared" si="337"/>
        <v>45</v>
      </c>
    </row>
    <row r="344" spans="17:21" x14ac:dyDescent="0.25">
      <c r="Q344" s="3" t="s">
        <v>821</v>
      </c>
      <c r="R344" s="1">
        <v>44.75</v>
      </c>
      <c r="T344" t="str">
        <f t="shared" ref="T344:U344" si="338">Q342</f>
        <v>Antonius Lewry</v>
      </c>
      <c r="U344">
        <f t="shared" si="338"/>
        <v>45</v>
      </c>
    </row>
    <row r="345" spans="17:21" x14ac:dyDescent="0.25">
      <c r="Q345" s="3" t="s">
        <v>95</v>
      </c>
      <c r="R345" s="1">
        <v>44.75</v>
      </c>
      <c r="T345" t="str">
        <f t="shared" ref="T345:U345" si="339">Q343</f>
        <v>Rana Sharer</v>
      </c>
      <c r="U345">
        <f t="shared" si="339"/>
        <v>44.75</v>
      </c>
    </row>
    <row r="346" spans="17:21" x14ac:dyDescent="0.25">
      <c r="Q346" s="3" t="s">
        <v>740</v>
      </c>
      <c r="R346" s="1">
        <v>44.55</v>
      </c>
      <c r="T346" t="str">
        <f t="shared" ref="T346:U346" si="340">Q344</f>
        <v>Stacy Pickworth</v>
      </c>
      <c r="U346">
        <f t="shared" si="340"/>
        <v>44.75</v>
      </c>
    </row>
    <row r="347" spans="17:21" x14ac:dyDescent="0.25">
      <c r="Q347" s="3" t="s">
        <v>514</v>
      </c>
      <c r="R347" s="1">
        <v>44.55</v>
      </c>
      <c r="T347" t="str">
        <f t="shared" ref="T347:U347" si="341">Q345</f>
        <v>Baudoin Alldridge</v>
      </c>
      <c r="U347">
        <f t="shared" si="341"/>
        <v>44.75</v>
      </c>
    </row>
    <row r="348" spans="17:21" x14ac:dyDescent="0.25">
      <c r="Q348" s="3" t="s">
        <v>395</v>
      </c>
      <c r="R348" s="1">
        <v>44.55</v>
      </c>
      <c r="T348" t="str">
        <f t="shared" ref="T348:U348" si="342">Q346</f>
        <v>Reinaldos Kirtley</v>
      </c>
      <c r="U348">
        <f t="shared" si="342"/>
        <v>44.55</v>
      </c>
    </row>
    <row r="349" spans="17:21" x14ac:dyDescent="0.25">
      <c r="Q349" s="3" t="s">
        <v>621</v>
      </c>
      <c r="R349" s="1">
        <v>44.55</v>
      </c>
      <c r="T349" t="str">
        <f t="shared" ref="T349:U349" si="343">Q347</f>
        <v>Kimberli Mustchin</v>
      </c>
      <c r="U349">
        <f t="shared" si="343"/>
        <v>44.55</v>
      </c>
    </row>
    <row r="350" spans="17:21" x14ac:dyDescent="0.25">
      <c r="Q350" s="3" t="s">
        <v>76</v>
      </c>
      <c r="R350" s="1">
        <v>44.55</v>
      </c>
      <c r="T350" t="str">
        <f t="shared" ref="T350:U350" si="344">Q348</f>
        <v>Hamish MacSherry</v>
      </c>
      <c r="U350">
        <f t="shared" si="344"/>
        <v>44.55</v>
      </c>
    </row>
    <row r="351" spans="17:21" x14ac:dyDescent="0.25">
      <c r="Q351" s="3" t="s">
        <v>154</v>
      </c>
      <c r="R351" s="1">
        <v>44.55</v>
      </c>
      <c r="T351" t="str">
        <f t="shared" ref="T351:U351" si="345">Q349</f>
        <v>Micki Fero</v>
      </c>
      <c r="U351">
        <f t="shared" si="345"/>
        <v>44.55</v>
      </c>
    </row>
    <row r="352" spans="17:21" x14ac:dyDescent="0.25">
      <c r="Q352" s="3" t="s">
        <v>777</v>
      </c>
      <c r="R352" s="1">
        <v>43.74</v>
      </c>
      <c r="T352" t="str">
        <f t="shared" ref="T352:U352" si="346">Q350</f>
        <v>Arlana Ferrea</v>
      </c>
      <c r="U352">
        <f t="shared" si="346"/>
        <v>44.55</v>
      </c>
    </row>
    <row r="353" spans="17:21" x14ac:dyDescent="0.25">
      <c r="Q353" s="3" t="s">
        <v>578</v>
      </c>
      <c r="R353" s="1">
        <v>43.684999999999995</v>
      </c>
      <c r="T353" t="str">
        <f t="shared" ref="T353:U353" si="347">Q351</f>
        <v>Carney Clemencet</v>
      </c>
      <c r="U353">
        <f t="shared" si="347"/>
        <v>44.55</v>
      </c>
    </row>
    <row r="354" spans="17:21" x14ac:dyDescent="0.25">
      <c r="Q354" s="3" t="s">
        <v>790</v>
      </c>
      <c r="R354" s="1">
        <v>43.650000000000006</v>
      </c>
      <c r="T354" t="str">
        <f t="shared" ref="T354:U354" si="348">Q352</f>
        <v>Saree Ellesworth</v>
      </c>
      <c r="U354">
        <f t="shared" si="348"/>
        <v>43.74</v>
      </c>
    </row>
    <row r="355" spans="17:21" x14ac:dyDescent="0.25">
      <c r="Q355" s="3" t="s">
        <v>883</v>
      </c>
      <c r="R355" s="1">
        <v>43.650000000000006</v>
      </c>
      <c r="T355" t="str">
        <f t="shared" ref="T355:U355" si="349">Q353</f>
        <v>Mag Armistead</v>
      </c>
      <c r="U355">
        <f t="shared" si="349"/>
        <v>43.684999999999995</v>
      </c>
    </row>
    <row r="356" spans="17:21" x14ac:dyDescent="0.25">
      <c r="Q356" s="3" t="s">
        <v>536</v>
      </c>
      <c r="R356" s="1">
        <v>43.650000000000006</v>
      </c>
      <c r="T356" t="str">
        <f t="shared" ref="T356:U356" si="350">Q354</f>
        <v>Sharona Danilchik</v>
      </c>
      <c r="U356">
        <f t="shared" si="350"/>
        <v>43.650000000000006</v>
      </c>
    </row>
    <row r="357" spans="17:21" x14ac:dyDescent="0.25">
      <c r="Q357" s="3" t="s">
        <v>549</v>
      </c>
      <c r="R357" s="1">
        <v>43.650000000000006</v>
      </c>
      <c r="T357" t="str">
        <f t="shared" ref="T357:U357" si="351">Q355</f>
        <v>Virgil Baumadier</v>
      </c>
      <c r="U357">
        <f t="shared" si="351"/>
        <v>43.650000000000006</v>
      </c>
    </row>
    <row r="358" spans="17:21" x14ac:dyDescent="0.25">
      <c r="Q358" s="3" t="s">
        <v>471</v>
      </c>
      <c r="R358" s="1">
        <v>43.650000000000006</v>
      </c>
      <c r="T358" t="str">
        <f t="shared" ref="T358:U358" si="352">Q356</f>
        <v>Layne Imason</v>
      </c>
      <c r="U358">
        <f t="shared" si="352"/>
        <v>43.650000000000006</v>
      </c>
    </row>
    <row r="359" spans="17:21" x14ac:dyDescent="0.25">
      <c r="Q359" s="3" t="s">
        <v>535</v>
      </c>
      <c r="R359" s="1">
        <v>43.650000000000006</v>
      </c>
      <c r="T359" t="str">
        <f t="shared" ref="T359:U359" si="353">Q357</f>
        <v>Lewes Danes</v>
      </c>
      <c r="U359">
        <f t="shared" si="353"/>
        <v>43.650000000000006</v>
      </c>
    </row>
    <row r="360" spans="17:21" x14ac:dyDescent="0.25">
      <c r="Q360" s="3" t="s">
        <v>553</v>
      </c>
      <c r="R360" s="1">
        <v>43.650000000000006</v>
      </c>
      <c r="T360" t="str">
        <f t="shared" ref="T360:U360" si="354">Q358</f>
        <v>Jessica McNess</v>
      </c>
      <c r="U360">
        <f t="shared" si="354"/>
        <v>43.650000000000006</v>
      </c>
    </row>
    <row r="361" spans="17:21" x14ac:dyDescent="0.25">
      <c r="Q361" s="3" t="s">
        <v>182</v>
      </c>
      <c r="R361" s="1">
        <v>43.650000000000006</v>
      </c>
      <c r="T361" t="str">
        <f t="shared" ref="T361:U361" si="355">Q359</f>
        <v>Lawrence Pratt</v>
      </c>
      <c r="U361">
        <f t="shared" si="355"/>
        <v>43.650000000000006</v>
      </c>
    </row>
    <row r="362" spans="17:21" x14ac:dyDescent="0.25">
      <c r="Q362" s="3" t="s">
        <v>143</v>
      </c>
      <c r="R362" s="1">
        <v>43.650000000000006</v>
      </c>
      <c r="T362" t="str">
        <f t="shared" ref="T362:U362" si="356">Q360</f>
        <v>Lindy Uttermare</v>
      </c>
      <c r="U362">
        <f t="shared" si="356"/>
        <v>43.650000000000006</v>
      </c>
    </row>
    <row r="363" spans="17:21" x14ac:dyDescent="0.25">
      <c r="Q363" s="3" t="s">
        <v>173</v>
      </c>
      <c r="R363" s="1">
        <v>43.650000000000006</v>
      </c>
      <c r="T363" t="str">
        <f t="shared" ref="T363:U363" si="357">Q361</f>
        <v>Chris Croster</v>
      </c>
      <c r="U363">
        <f t="shared" si="357"/>
        <v>43.650000000000006</v>
      </c>
    </row>
    <row r="364" spans="17:21" x14ac:dyDescent="0.25">
      <c r="Q364" s="3" t="s">
        <v>78</v>
      </c>
      <c r="R364" s="1">
        <v>43.019999999999996</v>
      </c>
      <c r="T364" t="str">
        <f t="shared" ref="T364:U364" si="358">Q362</f>
        <v>Burnard Bartholin</v>
      </c>
      <c r="U364">
        <f t="shared" si="358"/>
        <v>43.650000000000006</v>
      </c>
    </row>
    <row r="365" spans="17:21" x14ac:dyDescent="0.25">
      <c r="Q365" s="3" t="s">
        <v>876</v>
      </c>
      <c r="R365" s="1">
        <v>41.25</v>
      </c>
      <c r="T365" t="str">
        <f t="shared" ref="T365:U365" si="359">Q363</f>
        <v>Charin Penwarden</v>
      </c>
      <c r="U365">
        <f t="shared" si="359"/>
        <v>43.650000000000006</v>
      </c>
    </row>
    <row r="366" spans="17:21" x14ac:dyDescent="0.25">
      <c r="Q366" s="3" t="s">
        <v>629</v>
      </c>
      <c r="R366" s="1">
        <v>41.25</v>
      </c>
      <c r="T366" t="str">
        <f t="shared" ref="T366:U366" si="360">Q364</f>
        <v>Ashbey Tomaszewski</v>
      </c>
      <c r="U366">
        <f t="shared" si="360"/>
        <v>43.019999999999996</v>
      </c>
    </row>
    <row r="367" spans="17:21" x14ac:dyDescent="0.25">
      <c r="Q367" s="3" t="s">
        <v>833</v>
      </c>
      <c r="R367" s="1">
        <v>41.25</v>
      </c>
      <c r="T367" t="str">
        <f t="shared" ref="T367:U367" si="361">Q365</f>
        <v>Verne Dunkerley</v>
      </c>
      <c r="U367">
        <f t="shared" si="361"/>
        <v>41.25</v>
      </c>
    </row>
    <row r="368" spans="17:21" x14ac:dyDescent="0.25">
      <c r="Q368" s="3" t="s">
        <v>488</v>
      </c>
      <c r="R368" s="1">
        <v>41.25</v>
      </c>
      <c r="T368" t="str">
        <f t="shared" ref="T368:U368" si="362">Q366</f>
        <v>Miran Doidge</v>
      </c>
      <c r="U368">
        <f t="shared" si="362"/>
        <v>41.25</v>
      </c>
    </row>
    <row r="369" spans="17:21" x14ac:dyDescent="0.25">
      <c r="Q369" s="3" t="s">
        <v>435</v>
      </c>
      <c r="R369" s="1">
        <v>41.25</v>
      </c>
      <c r="T369" t="str">
        <f t="shared" ref="T369:U369" si="363">Q367</f>
        <v>Tamarah Fero</v>
      </c>
      <c r="U369">
        <f t="shared" si="363"/>
        <v>41.25</v>
      </c>
    </row>
    <row r="370" spans="17:21" x14ac:dyDescent="0.25">
      <c r="Q370" s="3" t="s">
        <v>494</v>
      </c>
      <c r="R370" s="1">
        <v>41.25</v>
      </c>
      <c r="T370" t="str">
        <f t="shared" ref="T370:U370" si="364">Q368</f>
        <v>Julius Mccaull</v>
      </c>
      <c r="U370">
        <f t="shared" si="364"/>
        <v>41.25</v>
      </c>
    </row>
    <row r="371" spans="17:21" x14ac:dyDescent="0.25">
      <c r="Q371" s="3" t="s">
        <v>460</v>
      </c>
      <c r="R371" s="1">
        <v>41.25</v>
      </c>
      <c r="T371" t="str">
        <f t="shared" ref="T371:U371" si="365">Q369</f>
        <v>Irvine Phillpot</v>
      </c>
      <c r="U371">
        <f t="shared" si="365"/>
        <v>41.25</v>
      </c>
    </row>
    <row r="372" spans="17:21" x14ac:dyDescent="0.25">
      <c r="Q372" s="3" t="s">
        <v>591</v>
      </c>
      <c r="R372" s="1">
        <v>41.25</v>
      </c>
      <c r="T372" t="str">
        <f t="shared" ref="T372:U372" si="366">Q370</f>
        <v>Kandy Heddan</v>
      </c>
      <c r="U372">
        <f t="shared" si="366"/>
        <v>41.25</v>
      </c>
    </row>
    <row r="373" spans="17:21" x14ac:dyDescent="0.25">
      <c r="Q373" s="3" t="s">
        <v>185</v>
      </c>
      <c r="R373" s="1">
        <v>41.25</v>
      </c>
      <c r="T373" t="str">
        <f t="shared" ref="T373:U373" si="367">Q371</f>
        <v>Javier Kopke</v>
      </c>
      <c r="U373">
        <f t="shared" si="367"/>
        <v>41.25</v>
      </c>
    </row>
    <row r="374" spans="17:21" x14ac:dyDescent="0.25">
      <c r="Q374" s="3" t="s">
        <v>841</v>
      </c>
      <c r="R374" s="1">
        <v>41.169999999999995</v>
      </c>
      <c r="T374" t="str">
        <f t="shared" ref="T374:U374" si="368">Q372</f>
        <v>Margie Palleske</v>
      </c>
      <c r="U374">
        <f t="shared" si="368"/>
        <v>41.25</v>
      </c>
    </row>
    <row r="375" spans="17:21" x14ac:dyDescent="0.25">
      <c r="Q375" s="3" t="s">
        <v>632</v>
      </c>
      <c r="R375" s="1">
        <v>41.169999999999995</v>
      </c>
      <c r="T375" t="str">
        <f t="shared" ref="T375:U375" si="369">Q373</f>
        <v>Christopher Grieveson</v>
      </c>
      <c r="U375">
        <f t="shared" si="369"/>
        <v>41.25</v>
      </c>
    </row>
    <row r="376" spans="17:21" x14ac:dyDescent="0.25">
      <c r="Q376" s="3" t="s">
        <v>598</v>
      </c>
      <c r="R376" s="1">
        <v>41.169999999999995</v>
      </c>
      <c r="T376" t="str">
        <f t="shared" ref="T376:U376" si="370">Q374</f>
        <v>Terence Vanyutin</v>
      </c>
      <c r="U376">
        <f t="shared" si="370"/>
        <v>41.169999999999995</v>
      </c>
    </row>
    <row r="377" spans="17:21" x14ac:dyDescent="0.25">
      <c r="Q377" s="3" t="s">
        <v>27</v>
      </c>
      <c r="R377" s="1">
        <v>41.169999999999995</v>
      </c>
      <c r="T377" t="str">
        <f t="shared" ref="T377:U377" si="371">Q375</f>
        <v>Mohandis Spurden</v>
      </c>
      <c r="U377">
        <f t="shared" si="371"/>
        <v>41.169999999999995</v>
      </c>
    </row>
    <row r="378" spans="17:21" x14ac:dyDescent="0.25">
      <c r="Q378" s="3" t="s">
        <v>132</v>
      </c>
      <c r="R378" s="1">
        <v>41.169999999999995</v>
      </c>
      <c r="T378" t="str">
        <f t="shared" ref="T378:U378" si="372">Q376</f>
        <v>Marne Mingey</v>
      </c>
      <c r="U378">
        <f t="shared" si="372"/>
        <v>41.169999999999995</v>
      </c>
    </row>
    <row r="379" spans="17:21" x14ac:dyDescent="0.25">
      <c r="Q379" s="3" t="s">
        <v>825</v>
      </c>
      <c r="R379" s="1">
        <v>40.5</v>
      </c>
      <c r="T379" t="str">
        <f t="shared" ref="T379:U379" si="373">Q377</f>
        <v>Agnes Adamides</v>
      </c>
      <c r="U379">
        <f t="shared" si="373"/>
        <v>41.169999999999995</v>
      </c>
    </row>
    <row r="380" spans="17:21" x14ac:dyDescent="0.25">
      <c r="Q380" s="3" t="s">
        <v>717</v>
      </c>
      <c r="R380" s="1">
        <v>40.5</v>
      </c>
      <c r="T380" t="str">
        <f t="shared" ref="T380:U380" si="374">Q378</f>
        <v>Boyce Tarte</v>
      </c>
      <c r="U380">
        <f t="shared" si="374"/>
        <v>41.169999999999995</v>
      </c>
    </row>
    <row r="381" spans="17:21" x14ac:dyDescent="0.25">
      <c r="Q381" s="3" t="s">
        <v>687</v>
      </c>
      <c r="R381" s="1">
        <v>40.5</v>
      </c>
      <c r="T381" t="str">
        <f t="shared" ref="T381:U381" si="375">Q379</f>
        <v>Stanislaus Valsler</v>
      </c>
      <c r="U381">
        <f t="shared" si="375"/>
        <v>40.5</v>
      </c>
    </row>
    <row r="382" spans="17:21" x14ac:dyDescent="0.25">
      <c r="Q382" s="3" t="s">
        <v>564</v>
      </c>
      <c r="R382" s="1">
        <v>40.5</v>
      </c>
      <c r="T382" t="str">
        <f t="shared" ref="T382:U382" si="376">Q380</f>
        <v>Queenie Veel</v>
      </c>
      <c r="U382">
        <f t="shared" si="376"/>
        <v>40.5</v>
      </c>
    </row>
    <row r="383" spans="17:21" x14ac:dyDescent="0.25">
      <c r="Q383" s="3" t="s">
        <v>232</v>
      </c>
      <c r="R383" s="1">
        <v>40.5</v>
      </c>
      <c r="T383" t="str">
        <f t="shared" ref="T383:U383" si="377">Q381</f>
        <v>Orbadiah Duny</v>
      </c>
      <c r="U383">
        <f t="shared" si="377"/>
        <v>40.5</v>
      </c>
    </row>
    <row r="384" spans="17:21" x14ac:dyDescent="0.25">
      <c r="Q384" s="3" t="s">
        <v>640</v>
      </c>
      <c r="R384" s="1">
        <v>39.799999999999997</v>
      </c>
      <c r="T384" t="str">
        <f t="shared" ref="T384:U384" si="378">Q382</f>
        <v>Lothaire Mizzi</v>
      </c>
      <c r="U384">
        <f t="shared" si="378"/>
        <v>40.5</v>
      </c>
    </row>
    <row r="385" spans="17:21" x14ac:dyDescent="0.25">
      <c r="Q385" s="3" t="s">
        <v>836</v>
      </c>
      <c r="R385" s="1">
        <v>39.799999999999997</v>
      </c>
      <c r="T385" t="str">
        <f t="shared" ref="T385:U385" si="379">Q383</f>
        <v>Darcy Lochran</v>
      </c>
      <c r="U385">
        <f t="shared" si="379"/>
        <v>40.5</v>
      </c>
    </row>
    <row r="386" spans="17:21" x14ac:dyDescent="0.25">
      <c r="Q386" s="3" t="s">
        <v>333</v>
      </c>
      <c r="R386" s="1">
        <v>39.799999999999997</v>
      </c>
      <c r="T386" t="str">
        <f t="shared" ref="T386:U386" si="380">Q384</f>
        <v>Mozelle Calcutt</v>
      </c>
      <c r="U386">
        <f t="shared" si="380"/>
        <v>39.799999999999997</v>
      </c>
    </row>
    <row r="387" spans="17:21" x14ac:dyDescent="0.25">
      <c r="Q387" s="3" t="s">
        <v>171</v>
      </c>
      <c r="R387" s="1">
        <v>39.799999999999997</v>
      </c>
      <c r="T387" t="str">
        <f t="shared" ref="T387:U387" si="381">Q385</f>
        <v>Tania Craggs</v>
      </c>
      <c r="U387">
        <f t="shared" si="381"/>
        <v>39.799999999999997</v>
      </c>
    </row>
    <row r="388" spans="17:21" x14ac:dyDescent="0.25">
      <c r="Q388" s="3" t="s">
        <v>56</v>
      </c>
      <c r="R388" s="1">
        <v>39.799999999999997</v>
      </c>
      <c r="T388" t="str">
        <f t="shared" ref="T388:U388" si="382">Q386</f>
        <v>Ferrell Ferber</v>
      </c>
      <c r="U388">
        <f t="shared" si="382"/>
        <v>39.799999999999997</v>
      </c>
    </row>
    <row r="389" spans="17:21" x14ac:dyDescent="0.25">
      <c r="Q389" s="3" t="s">
        <v>837</v>
      </c>
      <c r="R389" s="1">
        <v>38.849999999999994</v>
      </c>
      <c r="T389" t="str">
        <f t="shared" ref="T389:U389" si="383">Q387</f>
        <v>Chantal Mersh</v>
      </c>
      <c r="U389">
        <f t="shared" si="383"/>
        <v>39.799999999999997</v>
      </c>
    </row>
    <row r="390" spans="17:21" x14ac:dyDescent="0.25">
      <c r="Q390" s="3" t="s">
        <v>912</v>
      </c>
      <c r="R390" s="1">
        <v>38.849999999999994</v>
      </c>
      <c r="T390" t="str">
        <f t="shared" ref="T390:U390" si="384">Q388</f>
        <v>Angelia Cleyburn</v>
      </c>
      <c r="U390">
        <f t="shared" si="384"/>
        <v>39.799999999999997</v>
      </c>
    </row>
    <row r="391" spans="17:21" x14ac:dyDescent="0.25">
      <c r="Q391" s="3" t="s">
        <v>734</v>
      </c>
      <c r="R391" s="1">
        <v>38.849999999999994</v>
      </c>
      <c r="T391" t="str">
        <f t="shared" ref="T391:U391" si="385">Q389</f>
        <v>Tawnya Menary</v>
      </c>
      <c r="U391">
        <f t="shared" si="385"/>
        <v>38.849999999999994</v>
      </c>
    </row>
    <row r="392" spans="17:21" x14ac:dyDescent="0.25">
      <c r="Q392" s="3" t="s">
        <v>361</v>
      </c>
      <c r="R392" s="1">
        <v>38.849999999999994</v>
      </c>
      <c r="T392" t="str">
        <f t="shared" ref="T392:U392" si="386">Q390</f>
        <v>Xenos Gibbons</v>
      </c>
      <c r="U392">
        <f t="shared" si="386"/>
        <v>38.849999999999994</v>
      </c>
    </row>
    <row r="393" spans="17:21" x14ac:dyDescent="0.25">
      <c r="Q393" s="3" t="s">
        <v>597</v>
      </c>
      <c r="R393" s="1">
        <v>38.849999999999994</v>
      </c>
      <c r="T393" t="str">
        <f t="shared" ref="T393:U393" si="387">Q391</f>
        <v>Reamonn Aynold</v>
      </c>
      <c r="U393">
        <f t="shared" si="387"/>
        <v>38.849999999999994</v>
      </c>
    </row>
    <row r="394" spans="17:21" x14ac:dyDescent="0.25">
      <c r="Q394" s="3" t="s">
        <v>441</v>
      </c>
      <c r="R394" s="1">
        <v>38.849999999999994</v>
      </c>
      <c r="T394" t="str">
        <f t="shared" ref="T394:U394" si="388">Q392</f>
        <v>Georgena Bentjens</v>
      </c>
      <c r="U394">
        <f t="shared" si="388"/>
        <v>38.849999999999994</v>
      </c>
    </row>
    <row r="395" spans="17:21" x14ac:dyDescent="0.25">
      <c r="Q395" s="3" t="s">
        <v>113</v>
      </c>
      <c r="R395" s="1">
        <v>38.849999999999994</v>
      </c>
      <c r="T395" t="str">
        <f t="shared" ref="T395:U395" si="389">Q393</f>
        <v>Marlena Howsden</v>
      </c>
      <c r="U395">
        <f t="shared" si="389"/>
        <v>38.849999999999994</v>
      </c>
    </row>
    <row r="396" spans="17:21" x14ac:dyDescent="0.25">
      <c r="Q396" s="3" t="s">
        <v>123</v>
      </c>
      <c r="R396" s="1">
        <v>38.849999999999994</v>
      </c>
      <c r="T396" t="str">
        <f t="shared" ref="T396:U396" si="390">Q394</f>
        <v>Isis Pikett</v>
      </c>
      <c r="U396">
        <f t="shared" si="390"/>
        <v>38.849999999999994</v>
      </c>
    </row>
    <row r="397" spans="17:21" x14ac:dyDescent="0.25">
      <c r="Q397" s="3" t="s">
        <v>285</v>
      </c>
      <c r="R397" s="1">
        <v>38.849999999999994</v>
      </c>
      <c r="T397" t="str">
        <f t="shared" ref="T397:U397" si="391">Q395</f>
        <v>Beryle Cottier</v>
      </c>
      <c r="U397">
        <f t="shared" si="391"/>
        <v>38.849999999999994</v>
      </c>
    </row>
    <row r="398" spans="17:21" x14ac:dyDescent="0.25">
      <c r="Q398" s="3" t="s">
        <v>49</v>
      </c>
      <c r="R398" s="1">
        <v>38.849999999999994</v>
      </c>
      <c r="T398" t="str">
        <f t="shared" ref="T398:U398" si="392">Q396</f>
        <v>Blancha McAmish</v>
      </c>
      <c r="U398">
        <f t="shared" si="392"/>
        <v>38.849999999999994</v>
      </c>
    </row>
    <row r="399" spans="17:21" x14ac:dyDescent="0.25">
      <c r="Q399" s="3" t="s">
        <v>233</v>
      </c>
      <c r="R399" s="1">
        <v>38.849999999999994</v>
      </c>
      <c r="T399" t="str">
        <f t="shared" ref="T399:U399" si="393">Q397</f>
        <v>Dyanna Aizikovitz</v>
      </c>
      <c r="U399">
        <f t="shared" si="393"/>
        <v>38.849999999999994</v>
      </c>
    </row>
    <row r="400" spans="17:21" x14ac:dyDescent="0.25">
      <c r="Q400" s="3" t="s">
        <v>75</v>
      </c>
      <c r="R400" s="1">
        <v>38.849999999999994</v>
      </c>
      <c r="T400" t="str">
        <f t="shared" ref="T400:U400" si="394">Q398</f>
        <v>Ami Arnow</v>
      </c>
      <c r="U400">
        <f t="shared" si="394"/>
        <v>38.849999999999994</v>
      </c>
    </row>
    <row r="401" spans="17:21" x14ac:dyDescent="0.25">
      <c r="Q401" s="3" t="s">
        <v>647</v>
      </c>
      <c r="R401" s="1">
        <v>38.04</v>
      </c>
      <c r="T401" t="str">
        <f t="shared" ref="T401:U401" si="395">Q399</f>
        <v>Darice Heaford</v>
      </c>
      <c r="U401">
        <f t="shared" si="395"/>
        <v>38.849999999999994</v>
      </c>
    </row>
    <row r="402" spans="17:21" x14ac:dyDescent="0.25">
      <c r="Q402" s="3" t="s">
        <v>374</v>
      </c>
      <c r="R402" s="1">
        <v>38.04</v>
      </c>
      <c r="T402" t="str">
        <f t="shared" ref="T402:U402" si="396">Q400</f>
        <v>Arel De Lasci</v>
      </c>
      <c r="U402">
        <f t="shared" si="396"/>
        <v>38.849999999999994</v>
      </c>
    </row>
    <row r="403" spans="17:21" x14ac:dyDescent="0.25">
      <c r="Q403" s="3" t="s">
        <v>603</v>
      </c>
      <c r="R403" s="1">
        <v>38.04</v>
      </c>
      <c r="T403" t="str">
        <f t="shared" ref="T403:U403" si="397">Q401</f>
        <v>Nalani Pirrone</v>
      </c>
      <c r="U403">
        <f t="shared" si="397"/>
        <v>38.04</v>
      </c>
    </row>
    <row r="404" spans="17:21" x14ac:dyDescent="0.25">
      <c r="Q404" s="3" t="s">
        <v>420</v>
      </c>
      <c r="R404" s="1">
        <v>38.04</v>
      </c>
      <c r="T404" t="str">
        <f t="shared" ref="T404:U404" si="398">Q402</f>
        <v>Gothart Bamfield</v>
      </c>
      <c r="U404">
        <f t="shared" si="398"/>
        <v>38.04</v>
      </c>
    </row>
    <row r="405" spans="17:21" x14ac:dyDescent="0.25">
      <c r="Q405" s="3" t="s">
        <v>141</v>
      </c>
      <c r="R405" s="1">
        <v>38.04</v>
      </c>
      <c r="T405" t="str">
        <f t="shared" ref="T405:U405" si="399">Q403</f>
        <v>Marvin Gundry</v>
      </c>
      <c r="U405">
        <f t="shared" si="399"/>
        <v>38.04</v>
      </c>
    </row>
    <row r="406" spans="17:21" x14ac:dyDescent="0.25">
      <c r="Q406" s="3" t="s">
        <v>785</v>
      </c>
      <c r="R406" s="1">
        <v>37.980000000000004</v>
      </c>
      <c r="T406" t="str">
        <f t="shared" ref="T406:U406" si="400">Q404</f>
        <v>Homer Dulany</v>
      </c>
      <c r="U406">
        <f t="shared" si="400"/>
        <v>38.04</v>
      </c>
    </row>
    <row r="407" spans="17:21" x14ac:dyDescent="0.25">
      <c r="Q407" s="3" t="s">
        <v>857</v>
      </c>
      <c r="R407" s="1">
        <v>36.454999999999998</v>
      </c>
      <c r="T407" t="str">
        <f t="shared" ref="T407:U407" si="401">Q405</f>
        <v>Brook Drage</v>
      </c>
      <c r="U407">
        <f t="shared" si="401"/>
        <v>38.04</v>
      </c>
    </row>
    <row r="408" spans="17:21" x14ac:dyDescent="0.25">
      <c r="Q408" s="3" t="s">
        <v>893</v>
      </c>
      <c r="R408" s="1">
        <v>36.454999999999998</v>
      </c>
      <c r="T408" t="str">
        <f t="shared" ref="T408:U408" si="402">Q406</f>
        <v>Selma McMillian</v>
      </c>
      <c r="U408">
        <f t="shared" si="402"/>
        <v>37.980000000000004</v>
      </c>
    </row>
    <row r="409" spans="17:21" x14ac:dyDescent="0.25">
      <c r="Q409" s="3" t="s">
        <v>572</v>
      </c>
      <c r="R409" s="1">
        <v>36.454999999999998</v>
      </c>
      <c r="T409" t="str">
        <f t="shared" ref="T409:U409" si="403">Q407</f>
        <v>Tomas Sutty</v>
      </c>
      <c r="U409">
        <f t="shared" si="403"/>
        <v>36.454999999999998</v>
      </c>
    </row>
    <row r="410" spans="17:21" x14ac:dyDescent="0.25">
      <c r="Q410" s="3" t="s">
        <v>54</v>
      </c>
      <c r="R410" s="1">
        <v>36.454999999999998</v>
      </c>
      <c r="T410" t="str">
        <f t="shared" ref="T410:U410" si="404">Q408</f>
        <v>Waylan Springall</v>
      </c>
      <c r="U410">
        <f t="shared" si="404"/>
        <v>36.454999999999998</v>
      </c>
    </row>
    <row r="411" spans="17:21" x14ac:dyDescent="0.25">
      <c r="Q411" s="3" t="s">
        <v>743</v>
      </c>
      <c r="R411" s="1">
        <v>36.450000000000003</v>
      </c>
      <c r="T411" t="str">
        <f t="shared" ref="T411:U411" si="405">Q409</f>
        <v>Lyndsey Megany</v>
      </c>
      <c r="U411">
        <f t="shared" si="405"/>
        <v>36.454999999999998</v>
      </c>
    </row>
    <row r="412" spans="17:21" x14ac:dyDescent="0.25">
      <c r="Q412" s="3" t="s">
        <v>803</v>
      </c>
      <c r="R412" s="1">
        <v>36.450000000000003</v>
      </c>
      <c r="T412" t="str">
        <f t="shared" ref="T412:U412" si="406">Q410</f>
        <v>Andie Rudram</v>
      </c>
      <c r="U412">
        <f t="shared" si="406"/>
        <v>36.454999999999998</v>
      </c>
    </row>
    <row r="413" spans="17:21" x14ac:dyDescent="0.25">
      <c r="Q413" s="3" t="s">
        <v>761</v>
      </c>
      <c r="R413" s="1">
        <v>36.450000000000003</v>
      </c>
      <c r="T413" t="str">
        <f t="shared" ref="T413:U413" si="407">Q411</f>
        <v>Reynolds Crookshanks</v>
      </c>
      <c r="U413">
        <f t="shared" si="407"/>
        <v>36.450000000000003</v>
      </c>
    </row>
    <row r="414" spans="17:21" x14ac:dyDescent="0.25">
      <c r="Q414" s="3" t="s">
        <v>373</v>
      </c>
      <c r="R414" s="1">
        <v>36.450000000000003</v>
      </c>
      <c r="T414" t="str">
        <f t="shared" ref="T414:U414" si="408">Q412</f>
        <v>Sibella Rushbrooke</v>
      </c>
      <c r="U414">
        <f t="shared" si="408"/>
        <v>36.450000000000003</v>
      </c>
    </row>
    <row r="415" spans="17:21" x14ac:dyDescent="0.25">
      <c r="Q415" s="3" t="s">
        <v>557</v>
      </c>
      <c r="R415" s="1">
        <v>36.450000000000003</v>
      </c>
      <c r="T415" t="str">
        <f t="shared" ref="T415:U415" si="409">Q413</f>
        <v>Roxie Deaconson</v>
      </c>
      <c r="U415">
        <f t="shared" si="409"/>
        <v>36.450000000000003</v>
      </c>
    </row>
    <row r="416" spans="17:21" x14ac:dyDescent="0.25">
      <c r="Q416" s="3" t="s">
        <v>58</v>
      </c>
      <c r="R416" s="1">
        <v>36.450000000000003</v>
      </c>
      <c r="T416" t="str">
        <f t="shared" ref="T416:U416" si="410">Q414</f>
        <v>Gonzales Cicculi</v>
      </c>
      <c r="U416">
        <f t="shared" si="410"/>
        <v>36.450000000000003</v>
      </c>
    </row>
    <row r="417" spans="17:21" x14ac:dyDescent="0.25">
      <c r="Q417" s="3" t="s">
        <v>306</v>
      </c>
      <c r="R417" s="1">
        <v>36.450000000000003</v>
      </c>
      <c r="T417" t="str">
        <f t="shared" ref="T417:U417" si="411">Q415</f>
        <v>Livy Lathleiff</v>
      </c>
      <c r="U417">
        <f t="shared" si="411"/>
        <v>36.450000000000003</v>
      </c>
    </row>
    <row r="418" spans="17:21" x14ac:dyDescent="0.25">
      <c r="Q418" s="3" t="s">
        <v>816</v>
      </c>
      <c r="R418" s="1">
        <v>35.849999999999994</v>
      </c>
      <c r="T418" t="str">
        <f t="shared" ref="T418:U418" si="412">Q416</f>
        <v>Angie Rizzetti</v>
      </c>
      <c r="U418">
        <f t="shared" si="412"/>
        <v>36.450000000000003</v>
      </c>
    </row>
    <row r="419" spans="17:21" x14ac:dyDescent="0.25">
      <c r="Q419" s="3" t="s">
        <v>877</v>
      </c>
      <c r="R419" s="1">
        <v>35.849999999999994</v>
      </c>
      <c r="T419" t="str">
        <f t="shared" ref="T419:U419" si="413">Q417</f>
        <v>Emlynne Laird</v>
      </c>
      <c r="U419">
        <f t="shared" si="413"/>
        <v>36.450000000000003</v>
      </c>
    </row>
    <row r="420" spans="17:21" x14ac:dyDescent="0.25">
      <c r="Q420" s="3" t="s">
        <v>913</v>
      </c>
      <c r="R420" s="1">
        <v>35.849999999999994</v>
      </c>
      <c r="T420" t="str">
        <f t="shared" ref="T420:U420" si="414">Q418</f>
        <v>Skipton Morrall</v>
      </c>
      <c r="U420">
        <f t="shared" si="414"/>
        <v>35.849999999999994</v>
      </c>
    </row>
    <row r="421" spans="17:21" x14ac:dyDescent="0.25">
      <c r="Q421" s="3" t="s">
        <v>392</v>
      </c>
      <c r="R421" s="1">
        <v>35.849999999999994</v>
      </c>
      <c r="T421" t="str">
        <f t="shared" ref="T421:U421" si="415">Q419</f>
        <v>Vernor Pawsey</v>
      </c>
      <c r="U421">
        <f t="shared" si="415"/>
        <v>35.849999999999994</v>
      </c>
    </row>
    <row r="422" spans="17:21" x14ac:dyDescent="0.25">
      <c r="Q422" s="3" t="s">
        <v>521</v>
      </c>
      <c r="R422" s="1">
        <v>35.849999999999994</v>
      </c>
      <c r="T422" t="str">
        <f t="shared" ref="T422:U422" si="416">Q420</f>
        <v>Yardley Basill</v>
      </c>
      <c r="U422">
        <f t="shared" si="416"/>
        <v>35.849999999999994</v>
      </c>
    </row>
    <row r="423" spans="17:21" x14ac:dyDescent="0.25">
      <c r="Q423" s="3" t="s">
        <v>322</v>
      </c>
      <c r="R423" s="1">
        <v>35.849999999999994</v>
      </c>
      <c r="T423" t="str">
        <f t="shared" ref="T423:U423" si="417">Q421</f>
        <v>Hailee Radbone</v>
      </c>
      <c r="U423">
        <f t="shared" si="417"/>
        <v>35.849999999999994</v>
      </c>
    </row>
    <row r="424" spans="17:21" x14ac:dyDescent="0.25">
      <c r="Q424" s="3" t="s">
        <v>295</v>
      </c>
      <c r="R424" s="1">
        <v>35.849999999999994</v>
      </c>
      <c r="T424" t="str">
        <f t="shared" ref="T424:U424" si="418">Q422</f>
        <v>Koralle Heads</v>
      </c>
      <c r="U424">
        <f t="shared" si="418"/>
        <v>35.849999999999994</v>
      </c>
    </row>
    <row r="425" spans="17:21" x14ac:dyDescent="0.25">
      <c r="Q425" s="3" t="s">
        <v>236</v>
      </c>
      <c r="R425" s="1">
        <v>35.849999999999994</v>
      </c>
      <c r="T425" t="str">
        <f t="shared" ref="T425:U425" si="419">Q423</f>
        <v>Fanchon Haughian</v>
      </c>
      <c r="U425">
        <f t="shared" si="419"/>
        <v>35.849999999999994</v>
      </c>
    </row>
    <row r="426" spans="17:21" x14ac:dyDescent="0.25">
      <c r="Q426" s="3" t="s">
        <v>817</v>
      </c>
      <c r="R426" s="1">
        <v>35.82</v>
      </c>
      <c r="T426" t="str">
        <f t="shared" ref="T426:U426" si="420">Q424</f>
        <v>Elna Grise</v>
      </c>
      <c r="U426">
        <f t="shared" si="420"/>
        <v>35.849999999999994</v>
      </c>
    </row>
    <row r="427" spans="17:21" x14ac:dyDescent="0.25">
      <c r="Q427" s="3" t="s">
        <v>541</v>
      </c>
      <c r="R427" s="1">
        <v>35.82</v>
      </c>
      <c r="T427" t="str">
        <f t="shared" ref="T427:U427" si="421">Q425</f>
        <v>Daryn Cassius</v>
      </c>
      <c r="U427">
        <f t="shared" si="421"/>
        <v>35.849999999999994</v>
      </c>
    </row>
    <row r="428" spans="17:21" x14ac:dyDescent="0.25">
      <c r="Q428" s="3" t="s">
        <v>320</v>
      </c>
      <c r="R428" s="1">
        <v>35.82</v>
      </c>
      <c r="T428" t="str">
        <f t="shared" ref="T428:U428" si="422">Q426</f>
        <v>Sky Farnish</v>
      </c>
      <c r="U428">
        <f t="shared" si="422"/>
        <v>35.82</v>
      </c>
    </row>
    <row r="429" spans="17:21" x14ac:dyDescent="0.25">
      <c r="Q429" s="3" t="s">
        <v>325</v>
      </c>
      <c r="R429" s="1">
        <v>35.82</v>
      </c>
      <c r="T429" t="str">
        <f t="shared" ref="T429:U429" si="423">Q427</f>
        <v>Lenci Haggerstone</v>
      </c>
      <c r="U429">
        <f t="shared" si="423"/>
        <v>35.82</v>
      </c>
    </row>
    <row r="430" spans="17:21" x14ac:dyDescent="0.25">
      <c r="Q430" s="3" t="s">
        <v>18</v>
      </c>
      <c r="R430" s="1">
        <v>35.82</v>
      </c>
      <c r="T430" t="str">
        <f t="shared" ref="T430:U430" si="424">Q428</f>
        <v>Faber Eilhart</v>
      </c>
      <c r="U430">
        <f t="shared" si="424"/>
        <v>35.82</v>
      </c>
    </row>
    <row r="431" spans="17:21" x14ac:dyDescent="0.25">
      <c r="Q431" s="3" t="s">
        <v>278</v>
      </c>
      <c r="R431" s="1">
        <v>35.82</v>
      </c>
      <c r="T431" t="str">
        <f t="shared" ref="T431:U431" si="425">Q429</f>
        <v>Felecia Dodgson</v>
      </c>
      <c r="U431">
        <f t="shared" si="425"/>
        <v>35.82</v>
      </c>
    </row>
    <row r="432" spans="17:21" x14ac:dyDescent="0.25">
      <c r="Q432" s="3" t="s">
        <v>332</v>
      </c>
      <c r="R432" s="1">
        <v>35.799999999999997</v>
      </c>
      <c r="T432" t="str">
        <f t="shared" ref="T432:U432" si="426">Q430</f>
        <v>Adelheid Gladhill</v>
      </c>
      <c r="U432">
        <f t="shared" si="426"/>
        <v>35.82</v>
      </c>
    </row>
    <row r="433" spans="17:21" x14ac:dyDescent="0.25">
      <c r="Q433" s="3" t="s">
        <v>371</v>
      </c>
      <c r="R433" s="1">
        <v>35.64</v>
      </c>
      <c r="T433" t="str">
        <f t="shared" ref="T433:U433" si="427">Q431</f>
        <v>Dorian Vizor</v>
      </c>
      <c r="U433">
        <f t="shared" si="427"/>
        <v>35.82</v>
      </c>
    </row>
    <row r="434" spans="17:21" x14ac:dyDescent="0.25">
      <c r="Q434" s="3" t="s">
        <v>596</v>
      </c>
      <c r="R434" s="1">
        <v>35.64</v>
      </c>
      <c r="T434" t="str">
        <f t="shared" ref="T434:U434" si="428">Q432</f>
        <v>Fernando Sulman</v>
      </c>
      <c r="U434">
        <f t="shared" si="428"/>
        <v>35.799999999999997</v>
      </c>
    </row>
    <row r="435" spans="17:21" x14ac:dyDescent="0.25">
      <c r="Q435" s="3" t="s">
        <v>299</v>
      </c>
      <c r="R435" s="1">
        <v>35.64</v>
      </c>
      <c r="T435" t="str">
        <f t="shared" ref="T435:U435" si="429">Q433</f>
        <v>Godfry Poinsett</v>
      </c>
      <c r="U435">
        <f t="shared" si="429"/>
        <v>35.64</v>
      </c>
    </row>
    <row r="436" spans="17:21" x14ac:dyDescent="0.25">
      <c r="Q436" s="3" t="s">
        <v>286</v>
      </c>
      <c r="R436" s="1">
        <v>35.64</v>
      </c>
      <c r="T436" t="str">
        <f t="shared" ref="T436:U436" si="430">Q434</f>
        <v>Marjorie Yoxen</v>
      </c>
      <c r="U436">
        <f t="shared" si="430"/>
        <v>35.64</v>
      </c>
    </row>
    <row r="437" spans="17:21" x14ac:dyDescent="0.25">
      <c r="Q437" s="3" t="s">
        <v>179</v>
      </c>
      <c r="R437" s="1">
        <v>35.64</v>
      </c>
      <c r="T437" t="str">
        <f t="shared" ref="T437:U437" si="431">Q435</f>
        <v>Else Langcaster</v>
      </c>
      <c r="U437">
        <f t="shared" si="431"/>
        <v>35.64</v>
      </c>
    </row>
    <row r="438" spans="17:21" x14ac:dyDescent="0.25">
      <c r="Q438" s="3" t="s">
        <v>293</v>
      </c>
      <c r="R438" s="1">
        <v>35.64</v>
      </c>
      <c r="T438" t="str">
        <f t="shared" ref="T438:U438" si="432">Q436</f>
        <v>Eal D'Ambrogio</v>
      </c>
      <c r="U438">
        <f t="shared" si="432"/>
        <v>35.64</v>
      </c>
    </row>
    <row r="439" spans="17:21" x14ac:dyDescent="0.25">
      <c r="Q439" s="3" t="s">
        <v>795</v>
      </c>
      <c r="R439" s="1">
        <v>34.92</v>
      </c>
      <c r="T439" t="str">
        <f t="shared" ref="T439:U439" si="433">Q437</f>
        <v>Chickie Ragless</v>
      </c>
      <c r="U439">
        <f t="shared" si="433"/>
        <v>35.64</v>
      </c>
    </row>
    <row r="440" spans="17:21" x14ac:dyDescent="0.25">
      <c r="Q440" s="3" t="s">
        <v>839</v>
      </c>
      <c r="R440" s="1">
        <v>34.92</v>
      </c>
      <c r="T440" t="str">
        <f t="shared" ref="T440:U440" si="434">Q438</f>
        <v>Elizabet Aizikowitz</v>
      </c>
      <c r="U440">
        <f t="shared" si="434"/>
        <v>35.64</v>
      </c>
    </row>
    <row r="441" spans="17:21" x14ac:dyDescent="0.25">
      <c r="Q441" s="3" t="s">
        <v>683</v>
      </c>
      <c r="R441" s="1">
        <v>34.154999999999994</v>
      </c>
      <c r="T441" t="str">
        <f t="shared" ref="T441:U441" si="435">Q439</f>
        <v>Shelley Titley</v>
      </c>
      <c r="U441">
        <f t="shared" si="435"/>
        <v>34.92</v>
      </c>
    </row>
    <row r="442" spans="17:21" x14ac:dyDescent="0.25">
      <c r="Q442" s="3" t="s">
        <v>611</v>
      </c>
      <c r="R442" s="1">
        <v>34.154999999999994</v>
      </c>
      <c r="T442" t="str">
        <f t="shared" ref="T442:U442" si="436">Q440</f>
        <v>Teddi Quadri</v>
      </c>
      <c r="U442">
        <f t="shared" si="436"/>
        <v>34.92</v>
      </c>
    </row>
    <row r="443" spans="17:21" x14ac:dyDescent="0.25">
      <c r="Q443" s="3" t="s">
        <v>720</v>
      </c>
      <c r="R443" s="1">
        <v>33.75</v>
      </c>
      <c r="T443" t="str">
        <f t="shared" ref="T443:U443" si="437">Q441</f>
        <v>Odille Thynne</v>
      </c>
      <c r="U443">
        <f t="shared" si="437"/>
        <v>34.154999999999994</v>
      </c>
    </row>
    <row r="444" spans="17:21" x14ac:dyDescent="0.25">
      <c r="Q444" s="3" t="s">
        <v>511</v>
      </c>
      <c r="R444" s="1">
        <v>33.75</v>
      </c>
      <c r="T444" t="str">
        <f t="shared" ref="T444:U444" si="438">Q442</f>
        <v>Melli Brockway</v>
      </c>
      <c r="U444">
        <f t="shared" si="438"/>
        <v>34.154999999999994</v>
      </c>
    </row>
    <row r="445" spans="17:21" x14ac:dyDescent="0.25">
      <c r="Q445" s="3" t="s">
        <v>421</v>
      </c>
      <c r="R445" s="1">
        <v>33.75</v>
      </c>
      <c r="T445" t="str">
        <f t="shared" ref="T445:U445" si="439">Q443</f>
        <v>Quinton Fouracres</v>
      </c>
      <c r="U445">
        <f t="shared" si="439"/>
        <v>33.75</v>
      </c>
    </row>
    <row r="446" spans="17:21" x14ac:dyDescent="0.25">
      <c r="Q446" s="3" t="s">
        <v>318</v>
      </c>
      <c r="R446" s="1">
        <v>33.75</v>
      </c>
      <c r="T446" t="str">
        <f t="shared" ref="T446:U446" si="440">Q444</f>
        <v>Kienan Scholard</v>
      </c>
      <c r="U446">
        <f t="shared" si="440"/>
        <v>33.75</v>
      </c>
    </row>
    <row r="447" spans="17:21" x14ac:dyDescent="0.25">
      <c r="Q447" s="3" t="s">
        <v>103</v>
      </c>
      <c r="R447" s="1">
        <v>33.75</v>
      </c>
      <c r="T447" t="str">
        <f t="shared" ref="T447:U447" si="441">Q445</f>
        <v>Hussein Olliff</v>
      </c>
      <c r="U447">
        <f t="shared" si="441"/>
        <v>33.75</v>
      </c>
    </row>
    <row r="448" spans="17:21" x14ac:dyDescent="0.25">
      <c r="Q448" s="3" t="s">
        <v>261</v>
      </c>
      <c r="R448" s="1">
        <v>33.75</v>
      </c>
      <c r="T448" t="str">
        <f t="shared" ref="T448:U448" si="442">Q446</f>
        <v>Evy Wilsone</v>
      </c>
      <c r="U448">
        <f t="shared" si="442"/>
        <v>33.75</v>
      </c>
    </row>
    <row r="449" spans="17:21" x14ac:dyDescent="0.25">
      <c r="Q449" s="3" t="s">
        <v>311</v>
      </c>
      <c r="R449" s="1">
        <v>33.75</v>
      </c>
      <c r="T449" t="str">
        <f t="shared" ref="T449:U449" si="443">Q447</f>
        <v>Beitris Keaveney</v>
      </c>
      <c r="U449">
        <f t="shared" si="443"/>
        <v>33.75</v>
      </c>
    </row>
    <row r="450" spans="17:21" x14ac:dyDescent="0.25">
      <c r="Q450" s="3" t="s">
        <v>219</v>
      </c>
      <c r="R450" s="1">
        <v>33.75</v>
      </c>
      <c r="T450" t="str">
        <f t="shared" ref="T450:U450" si="444">Q448</f>
        <v>Dionne Skyner</v>
      </c>
      <c r="U450">
        <f t="shared" si="444"/>
        <v>33.75</v>
      </c>
    </row>
    <row r="451" spans="17:21" x14ac:dyDescent="0.25">
      <c r="Q451" s="3" t="s">
        <v>408</v>
      </c>
      <c r="R451" s="1">
        <v>33.47</v>
      </c>
      <c r="T451" t="str">
        <f t="shared" ref="T451:U451" si="445">Q449</f>
        <v>Ermin Beeble</v>
      </c>
      <c r="U451">
        <f t="shared" si="445"/>
        <v>33.75</v>
      </c>
    </row>
    <row r="452" spans="17:21" x14ac:dyDescent="0.25">
      <c r="Q452" s="3" t="s">
        <v>698</v>
      </c>
      <c r="R452" s="1">
        <v>33.464999999999996</v>
      </c>
      <c r="T452" t="str">
        <f t="shared" ref="T452:U452" si="446">Q450</f>
        <v>Cos Fluin</v>
      </c>
      <c r="U452">
        <f t="shared" si="446"/>
        <v>33.75</v>
      </c>
    </row>
    <row r="453" spans="17:21" x14ac:dyDescent="0.25">
      <c r="Q453" s="3" t="s">
        <v>721</v>
      </c>
      <c r="R453" s="1">
        <v>33.464999999999996</v>
      </c>
      <c r="T453" t="str">
        <f t="shared" ref="T453:U453" si="447">Q451</f>
        <v>Helaina Rainforth</v>
      </c>
      <c r="U453">
        <f t="shared" si="447"/>
        <v>33.47</v>
      </c>
    </row>
    <row r="454" spans="17:21" x14ac:dyDescent="0.25">
      <c r="Q454" s="3" t="s">
        <v>577</v>
      </c>
      <c r="R454" s="1">
        <v>33.464999999999996</v>
      </c>
      <c r="T454" t="str">
        <f t="shared" ref="T454:U454" si="448">Q452</f>
        <v>Parsifal Metrick</v>
      </c>
      <c r="U454">
        <f t="shared" si="448"/>
        <v>33.464999999999996</v>
      </c>
    </row>
    <row r="455" spans="17:21" x14ac:dyDescent="0.25">
      <c r="Q455" s="3" t="s">
        <v>192</v>
      </c>
      <c r="R455" s="1">
        <v>33.464999999999996</v>
      </c>
      <c r="T455" t="str">
        <f t="shared" ref="T455:U455" si="449">Q453</f>
        <v>Rachelle Elizabeth</v>
      </c>
      <c r="U455">
        <f t="shared" si="449"/>
        <v>33.464999999999996</v>
      </c>
    </row>
    <row r="456" spans="17:21" x14ac:dyDescent="0.25">
      <c r="Q456" s="3" t="s">
        <v>919</v>
      </c>
      <c r="R456" s="1">
        <v>33.31</v>
      </c>
      <c r="T456" t="str">
        <f t="shared" ref="T456:U456" si="450">Q454</f>
        <v>Madelene Prinn</v>
      </c>
      <c r="U456">
        <f t="shared" si="450"/>
        <v>33.464999999999996</v>
      </c>
    </row>
    <row r="457" spans="17:21" x14ac:dyDescent="0.25">
      <c r="Q457" s="3" t="s">
        <v>495</v>
      </c>
      <c r="R457" s="1">
        <v>33</v>
      </c>
      <c r="T457" t="str">
        <f t="shared" ref="T457:U457" si="451">Q455</f>
        <v>Claudell Ayre</v>
      </c>
      <c r="U457">
        <f t="shared" si="451"/>
        <v>33.464999999999996</v>
      </c>
    </row>
    <row r="458" spans="17:21" x14ac:dyDescent="0.25">
      <c r="Q458" s="3" t="s">
        <v>676</v>
      </c>
      <c r="R458" s="1">
        <v>32.22</v>
      </c>
      <c r="T458" t="str">
        <f t="shared" ref="T458:U458" si="452">Q456</f>
        <v>Zacharias Kiffe</v>
      </c>
      <c r="U458">
        <f t="shared" si="452"/>
        <v>33.31</v>
      </c>
    </row>
    <row r="459" spans="17:21" x14ac:dyDescent="0.25">
      <c r="Q459" s="3" t="s">
        <v>65</v>
      </c>
      <c r="R459" s="1">
        <v>32.22</v>
      </c>
      <c r="T459" t="str">
        <f t="shared" ref="T459:U459" si="453">Q457</f>
        <v>Kari Swede</v>
      </c>
      <c r="U459">
        <f t="shared" si="453"/>
        <v>33</v>
      </c>
    </row>
    <row r="460" spans="17:21" x14ac:dyDescent="0.25">
      <c r="Q460" s="3" t="s">
        <v>96</v>
      </c>
      <c r="R460" s="1">
        <v>32.22</v>
      </c>
      <c r="T460" t="str">
        <f t="shared" ref="T460:U460" si="454">Q458</f>
        <v>Noam Climance</v>
      </c>
      <c r="U460">
        <f t="shared" si="454"/>
        <v>32.22</v>
      </c>
    </row>
    <row r="461" spans="17:21" x14ac:dyDescent="0.25">
      <c r="Q461" s="3" t="s">
        <v>642</v>
      </c>
      <c r="R461" s="1">
        <v>31.7</v>
      </c>
      <c r="T461" t="str">
        <f t="shared" ref="T461:U461" si="455">Q459</f>
        <v>Anny Mundford</v>
      </c>
      <c r="U461">
        <f t="shared" si="455"/>
        <v>32.22</v>
      </c>
    </row>
    <row r="462" spans="17:21" x14ac:dyDescent="0.25">
      <c r="Q462" s="3" t="s">
        <v>375</v>
      </c>
      <c r="R462" s="1">
        <v>31.7</v>
      </c>
      <c r="T462" t="str">
        <f t="shared" ref="T462:U462" si="456">Q460</f>
        <v>Baxy Cargen</v>
      </c>
      <c r="U462">
        <f t="shared" si="456"/>
        <v>32.22</v>
      </c>
    </row>
    <row r="463" spans="17:21" x14ac:dyDescent="0.25">
      <c r="Q463" s="3" t="s">
        <v>327</v>
      </c>
      <c r="R463" s="1">
        <v>31.7</v>
      </c>
      <c r="T463" t="str">
        <f t="shared" ref="T463:U463" si="457">Q461</f>
        <v>Murdock Hame</v>
      </c>
      <c r="U463">
        <f t="shared" si="457"/>
        <v>31.7</v>
      </c>
    </row>
    <row r="464" spans="17:21" x14ac:dyDescent="0.25">
      <c r="Q464" s="3" t="s">
        <v>725</v>
      </c>
      <c r="R464" s="1">
        <v>31.624999999999996</v>
      </c>
      <c r="T464" t="str">
        <f t="shared" ref="T464:U464" si="458">Q462</f>
        <v>Graeme Whitehead</v>
      </c>
      <c r="U464">
        <f t="shared" si="458"/>
        <v>31.7</v>
      </c>
    </row>
    <row r="465" spans="17:21" x14ac:dyDescent="0.25">
      <c r="Q465" s="3" t="s">
        <v>378</v>
      </c>
      <c r="R465" s="1">
        <v>31.624999999999996</v>
      </c>
      <c r="T465" t="str">
        <f t="shared" ref="T465:U465" si="459">Q463</f>
        <v>Felicia Jecock</v>
      </c>
      <c r="U465">
        <f t="shared" si="459"/>
        <v>31.7</v>
      </c>
    </row>
    <row r="466" spans="17:21" x14ac:dyDescent="0.25">
      <c r="Q466" s="3" t="s">
        <v>204</v>
      </c>
      <c r="R466" s="1">
        <v>31.624999999999996</v>
      </c>
      <c r="T466" t="str">
        <f t="shared" ref="T466:U466" si="460">Q464</f>
        <v>Ramon Cheak</v>
      </c>
      <c r="U466">
        <f t="shared" si="460"/>
        <v>31.624999999999996</v>
      </c>
    </row>
    <row r="467" spans="17:21" x14ac:dyDescent="0.25">
      <c r="Q467" s="3" t="s">
        <v>107</v>
      </c>
      <c r="R467" s="1">
        <v>31.624999999999996</v>
      </c>
      <c r="T467" t="str">
        <f t="shared" ref="T467:U467" si="461">Q465</f>
        <v>Granger Smallcombe</v>
      </c>
      <c r="U467">
        <f t="shared" si="461"/>
        <v>31.624999999999996</v>
      </c>
    </row>
    <row r="468" spans="17:21" x14ac:dyDescent="0.25">
      <c r="Q468" s="3" t="s">
        <v>84</v>
      </c>
      <c r="R468" s="1">
        <v>31.454999999999998</v>
      </c>
      <c r="T468" t="str">
        <f t="shared" ref="T468:U468" si="462">Q466</f>
        <v>Conchita Bryde</v>
      </c>
      <c r="U468">
        <f t="shared" si="462"/>
        <v>31.624999999999996</v>
      </c>
    </row>
    <row r="469" spans="17:21" x14ac:dyDescent="0.25">
      <c r="Q469" s="3" t="s">
        <v>461</v>
      </c>
      <c r="R469" s="1">
        <v>31.08</v>
      </c>
      <c r="T469" t="str">
        <f t="shared" ref="T469:U469" si="463">Q467</f>
        <v>Benedikta Paumier</v>
      </c>
      <c r="U469">
        <f t="shared" si="463"/>
        <v>31.624999999999996</v>
      </c>
    </row>
    <row r="470" spans="17:21" x14ac:dyDescent="0.25">
      <c r="Q470" s="3" t="s">
        <v>336</v>
      </c>
      <c r="R470" s="1">
        <v>31.08</v>
      </c>
      <c r="T470" t="str">
        <f t="shared" ref="T470:U470" si="464">Q468</f>
        <v>Aurea Corradino</v>
      </c>
      <c r="U470">
        <f t="shared" si="464"/>
        <v>31.454999999999998</v>
      </c>
    </row>
    <row r="471" spans="17:21" x14ac:dyDescent="0.25">
      <c r="Q471" s="3" t="s">
        <v>479</v>
      </c>
      <c r="R471" s="1">
        <v>31.08</v>
      </c>
      <c r="T471" t="str">
        <f t="shared" ref="T471:U471" si="465">Q469</f>
        <v>Jed Kennicott</v>
      </c>
      <c r="U471">
        <f t="shared" si="465"/>
        <v>31.08</v>
      </c>
    </row>
    <row r="472" spans="17:21" x14ac:dyDescent="0.25">
      <c r="Q472" s="3" t="s">
        <v>436</v>
      </c>
      <c r="R472" s="1">
        <v>31.08</v>
      </c>
      <c r="T472" t="str">
        <f t="shared" ref="T472:U472" si="466">Q470</f>
        <v>Fleur Parres</v>
      </c>
      <c r="U472">
        <f t="shared" si="466"/>
        <v>31.08</v>
      </c>
    </row>
    <row r="473" spans="17:21" x14ac:dyDescent="0.25">
      <c r="Q473" s="3" t="s">
        <v>463</v>
      </c>
      <c r="R473" s="1">
        <v>30.06</v>
      </c>
      <c r="T473" t="str">
        <f t="shared" ref="T473:U473" si="467">Q471</f>
        <v>Johna Bluck</v>
      </c>
      <c r="U473">
        <f t="shared" si="467"/>
        <v>31.08</v>
      </c>
    </row>
    <row r="474" spans="17:21" x14ac:dyDescent="0.25">
      <c r="Q474" s="3" t="s">
        <v>655</v>
      </c>
      <c r="R474" s="1">
        <v>29.849999999999998</v>
      </c>
      <c r="T474" t="str">
        <f t="shared" ref="T474:U474" si="468">Q472</f>
        <v>Isa Blazewicz</v>
      </c>
      <c r="U474">
        <f t="shared" si="468"/>
        <v>31.08</v>
      </c>
    </row>
    <row r="475" spans="17:21" x14ac:dyDescent="0.25">
      <c r="Q475" s="3" t="s">
        <v>663</v>
      </c>
      <c r="R475" s="1">
        <v>29.849999999999998</v>
      </c>
      <c r="T475" t="str">
        <f t="shared" ref="T475:U475" si="469">Q473</f>
        <v>Jemimah Ethelston</v>
      </c>
      <c r="U475">
        <f t="shared" si="469"/>
        <v>30.06</v>
      </c>
    </row>
    <row r="476" spans="17:21" x14ac:dyDescent="0.25">
      <c r="Q476" s="3" t="s">
        <v>874</v>
      </c>
      <c r="R476" s="1">
        <v>29.849999999999998</v>
      </c>
      <c r="T476" t="str">
        <f t="shared" ref="T476:U476" si="470">Q474</f>
        <v>Nathan Sictornes</v>
      </c>
      <c r="U476">
        <f t="shared" si="470"/>
        <v>29.849999999999998</v>
      </c>
    </row>
    <row r="477" spans="17:21" x14ac:dyDescent="0.25">
      <c r="Q477" s="3" t="s">
        <v>813</v>
      </c>
      <c r="R477" s="1">
        <v>29.849999999999998</v>
      </c>
      <c r="T477" t="str">
        <f t="shared" ref="T477:U477" si="471">Q475</f>
        <v>Nevins Glowacz</v>
      </c>
      <c r="U477">
        <f t="shared" si="471"/>
        <v>29.849999999999998</v>
      </c>
    </row>
    <row r="478" spans="17:21" x14ac:dyDescent="0.25">
      <c r="Q478" s="3" t="s">
        <v>751</v>
      </c>
      <c r="R478" s="1">
        <v>29.849999999999998</v>
      </c>
      <c r="T478" t="str">
        <f t="shared" ref="T478:U478" si="472">Q476</f>
        <v>Vasili Upstone</v>
      </c>
      <c r="U478">
        <f t="shared" si="472"/>
        <v>29.849999999999998</v>
      </c>
    </row>
    <row r="479" spans="17:21" x14ac:dyDescent="0.25">
      <c r="Q479" s="3" t="s">
        <v>478</v>
      </c>
      <c r="R479" s="1">
        <v>29.849999999999998</v>
      </c>
      <c r="T479" t="str">
        <f t="shared" ref="T479:U479" si="473">Q477</f>
        <v>Simone Capon</v>
      </c>
      <c r="U479">
        <f t="shared" si="473"/>
        <v>29.849999999999998</v>
      </c>
    </row>
    <row r="480" spans="17:21" x14ac:dyDescent="0.25">
      <c r="Q480" s="3" t="s">
        <v>562</v>
      </c>
      <c r="R480" s="1">
        <v>29.849999999999998</v>
      </c>
      <c r="T480" t="str">
        <f t="shared" ref="T480:U480" si="474">Q478</f>
        <v>Rikki Tomkowicz</v>
      </c>
      <c r="U480">
        <f t="shared" si="474"/>
        <v>29.849999999999998</v>
      </c>
    </row>
    <row r="481" spans="17:21" x14ac:dyDescent="0.25">
      <c r="Q481" s="3" t="s">
        <v>17</v>
      </c>
      <c r="R481" s="1">
        <v>29.849999999999998</v>
      </c>
      <c r="T481" t="str">
        <f t="shared" ref="T481:U481" si="475">Q479</f>
        <v>Joey Jefferys</v>
      </c>
      <c r="U481">
        <f t="shared" si="475"/>
        <v>29.849999999999998</v>
      </c>
    </row>
    <row r="482" spans="17:21" x14ac:dyDescent="0.25">
      <c r="Q482" s="3" t="s">
        <v>28</v>
      </c>
      <c r="R482" s="1">
        <v>29.849999999999998</v>
      </c>
      <c r="T482" t="str">
        <f t="shared" ref="T482:U482" si="476">Q480</f>
        <v>Lorianne Kyneton</v>
      </c>
      <c r="U482">
        <f t="shared" si="476"/>
        <v>29.849999999999998</v>
      </c>
    </row>
    <row r="483" spans="17:21" x14ac:dyDescent="0.25">
      <c r="Q483" s="3" t="s">
        <v>255</v>
      </c>
      <c r="R483" s="1">
        <v>29.849999999999998</v>
      </c>
      <c r="T483" t="str">
        <f t="shared" ref="T483:U483" si="477">Q481</f>
        <v>Adele McFayden</v>
      </c>
      <c r="U483">
        <f t="shared" si="477"/>
        <v>29.849999999999998</v>
      </c>
    </row>
    <row r="484" spans="17:21" x14ac:dyDescent="0.25">
      <c r="Q484" s="3" t="s">
        <v>158</v>
      </c>
      <c r="R484" s="1">
        <v>29.849999999999998</v>
      </c>
      <c r="T484" t="str">
        <f t="shared" ref="T484:U484" si="478">Q482</f>
        <v>Ailene Nesfield</v>
      </c>
      <c r="U484">
        <f t="shared" si="478"/>
        <v>29.849999999999998</v>
      </c>
    </row>
    <row r="485" spans="17:21" x14ac:dyDescent="0.25">
      <c r="Q485" s="3" t="s">
        <v>900</v>
      </c>
      <c r="R485" s="1">
        <v>29.784999999999997</v>
      </c>
      <c r="T485" t="str">
        <f t="shared" ref="T485:U485" si="479">Q483</f>
        <v>Devy Bulbrook</v>
      </c>
      <c r="U485">
        <f t="shared" si="479"/>
        <v>29.849999999999998</v>
      </c>
    </row>
    <row r="486" spans="17:21" x14ac:dyDescent="0.25">
      <c r="Q486" s="3" t="s">
        <v>871</v>
      </c>
      <c r="R486" s="1">
        <v>29.784999999999997</v>
      </c>
      <c r="T486" t="str">
        <f t="shared" ref="T486:U486" si="480">Q484</f>
        <v>Cassie Pinkerton</v>
      </c>
      <c r="U486">
        <f t="shared" si="480"/>
        <v>29.849999999999998</v>
      </c>
    </row>
    <row r="487" spans="17:21" x14ac:dyDescent="0.25">
      <c r="Q487" s="3" t="s">
        <v>862</v>
      </c>
      <c r="R487" s="1">
        <v>29.784999999999997</v>
      </c>
      <c r="T487" t="str">
        <f t="shared" ref="T487:U487" si="481">Q485</f>
        <v>Willabella Abramski</v>
      </c>
      <c r="U487">
        <f t="shared" si="481"/>
        <v>29.784999999999997</v>
      </c>
    </row>
    <row r="488" spans="17:21" x14ac:dyDescent="0.25">
      <c r="Q488" s="3" t="s">
        <v>858</v>
      </c>
      <c r="R488" s="1">
        <v>29.784999999999997</v>
      </c>
      <c r="T488" t="str">
        <f t="shared" ref="T488:U488" si="482">Q486</f>
        <v>Vallie Kundt</v>
      </c>
      <c r="U488">
        <f t="shared" si="482"/>
        <v>29.784999999999997</v>
      </c>
    </row>
    <row r="489" spans="17:21" x14ac:dyDescent="0.25">
      <c r="Q489" s="3" t="s">
        <v>701</v>
      </c>
      <c r="R489" s="1">
        <v>29.784999999999997</v>
      </c>
      <c r="T489" t="str">
        <f t="shared" ref="T489:U489" si="483">Q487</f>
        <v>Trina Le Sarr</v>
      </c>
      <c r="U489">
        <f t="shared" si="483"/>
        <v>29.784999999999997</v>
      </c>
    </row>
    <row r="490" spans="17:21" x14ac:dyDescent="0.25">
      <c r="Q490" s="3" t="s">
        <v>111</v>
      </c>
      <c r="R490" s="1">
        <v>29.784999999999997</v>
      </c>
      <c r="T490" t="str">
        <f t="shared" ref="T490:U490" si="484">Q488</f>
        <v>Tomasina Cotmore</v>
      </c>
      <c r="U490">
        <f t="shared" si="484"/>
        <v>29.784999999999997</v>
      </c>
    </row>
    <row r="491" spans="17:21" x14ac:dyDescent="0.25">
      <c r="Q491" s="3" t="s">
        <v>229</v>
      </c>
      <c r="R491" s="1">
        <v>29.784999999999997</v>
      </c>
      <c r="T491" t="str">
        <f t="shared" ref="T491:U491" si="485">Q489</f>
        <v>Paula Denis</v>
      </c>
      <c r="U491">
        <f t="shared" si="485"/>
        <v>29.784999999999997</v>
      </c>
    </row>
    <row r="492" spans="17:21" x14ac:dyDescent="0.25">
      <c r="Q492" s="3" t="s">
        <v>102</v>
      </c>
      <c r="R492" s="1">
        <v>29.784999999999997</v>
      </c>
      <c r="T492" t="str">
        <f t="shared" ref="T492:U492" si="486">Q490</f>
        <v>Berty Beelby</v>
      </c>
      <c r="U492">
        <f t="shared" si="486"/>
        <v>29.784999999999997</v>
      </c>
    </row>
    <row r="493" spans="17:21" x14ac:dyDescent="0.25">
      <c r="Q493" s="3" t="s">
        <v>710</v>
      </c>
      <c r="R493" s="1">
        <v>29.7</v>
      </c>
      <c r="T493" t="str">
        <f t="shared" ref="T493:U493" si="487">Q491</f>
        <v>Dallas Yarham</v>
      </c>
      <c r="U493">
        <f t="shared" si="487"/>
        <v>29.784999999999997</v>
      </c>
    </row>
    <row r="494" spans="17:21" x14ac:dyDescent="0.25">
      <c r="Q494" s="3" t="s">
        <v>834</v>
      </c>
      <c r="R494" s="1">
        <v>29.16</v>
      </c>
      <c r="T494" t="str">
        <f t="shared" ref="T494:U494" si="488">Q492</f>
        <v>Bee Fattorini</v>
      </c>
      <c r="U494">
        <f t="shared" si="488"/>
        <v>29.784999999999997</v>
      </c>
    </row>
    <row r="495" spans="17:21" x14ac:dyDescent="0.25">
      <c r="Q495" s="3" t="s">
        <v>207</v>
      </c>
      <c r="R495" s="1">
        <v>29.16</v>
      </c>
      <c r="T495" t="str">
        <f t="shared" ref="T495:U495" si="489">Q493</f>
        <v>Peyter Matignon</v>
      </c>
      <c r="U495">
        <f t="shared" si="489"/>
        <v>29.7</v>
      </c>
    </row>
    <row r="496" spans="17:21" x14ac:dyDescent="0.25">
      <c r="Q496" s="3" t="s">
        <v>190</v>
      </c>
      <c r="R496" s="1">
        <v>29.16</v>
      </c>
      <c r="T496" t="str">
        <f t="shared" ref="T496:U496" si="490">Q494</f>
        <v>Tammie Drynan</v>
      </c>
      <c r="U496">
        <f t="shared" si="490"/>
        <v>29.16</v>
      </c>
    </row>
    <row r="497" spans="17:21" x14ac:dyDescent="0.25">
      <c r="Q497" s="3" t="s">
        <v>609</v>
      </c>
      <c r="R497" s="1">
        <v>29.1</v>
      </c>
      <c r="T497" t="str">
        <f t="shared" ref="T497:U497" si="491">Q495</f>
        <v>Constance Halfhide</v>
      </c>
      <c r="U497">
        <f t="shared" si="491"/>
        <v>29.16</v>
      </c>
    </row>
    <row r="498" spans="17:21" x14ac:dyDescent="0.25">
      <c r="Q498" s="3" t="s">
        <v>910</v>
      </c>
      <c r="R498" s="1">
        <v>28.679999999999996</v>
      </c>
      <c r="T498" t="str">
        <f t="shared" ref="T498:U498" si="492">Q496</f>
        <v>Claiborne Feye</v>
      </c>
      <c r="U498">
        <f t="shared" si="492"/>
        <v>29.16</v>
      </c>
    </row>
    <row r="499" spans="17:21" x14ac:dyDescent="0.25">
      <c r="Q499" s="3" t="s">
        <v>760</v>
      </c>
      <c r="R499" s="1">
        <v>28.679999999999996</v>
      </c>
      <c r="T499" t="str">
        <f t="shared" ref="T499:U499" si="493">Q497</f>
        <v>Meade Birkin</v>
      </c>
      <c r="U499">
        <f t="shared" si="493"/>
        <v>29.1</v>
      </c>
    </row>
    <row r="500" spans="17:21" x14ac:dyDescent="0.25">
      <c r="Q500" s="3" t="s">
        <v>493</v>
      </c>
      <c r="R500" s="1">
        <v>28.679999999999996</v>
      </c>
      <c r="T500" t="str">
        <f t="shared" ref="T500:U500" si="494">Q498</f>
        <v>Wright Caldero</v>
      </c>
      <c r="U500">
        <f t="shared" si="494"/>
        <v>28.679999999999996</v>
      </c>
    </row>
    <row r="501" spans="17:21" x14ac:dyDescent="0.25">
      <c r="Q501" s="3" t="s">
        <v>452</v>
      </c>
      <c r="R501" s="1">
        <v>28.679999999999996</v>
      </c>
      <c r="T501" t="str">
        <f t="shared" ref="T501:U501" si="495">Q499</f>
        <v>Rosaline McLae</v>
      </c>
      <c r="U501">
        <f t="shared" si="495"/>
        <v>28.679999999999996</v>
      </c>
    </row>
    <row r="502" spans="17:21" x14ac:dyDescent="0.25">
      <c r="Q502" s="3" t="s">
        <v>181</v>
      </c>
      <c r="R502" s="1">
        <v>28.62</v>
      </c>
      <c r="T502" t="str">
        <f t="shared" ref="T502:U502" si="496">Q500</f>
        <v>Kandace Cragell</v>
      </c>
      <c r="U502">
        <f t="shared" si="496"/>
        <v>28.679999999999996</v>
      </c>
    </row>
    <row r="503" spans="17:21" x14ac:dyDescent="0.25">
      <c r="Q503" s="3" t="s">
        <v>897</v>
      </c>
      <c r="R503" s="1">
        <v>28.574999999999999</v>
      </c>
      <c r="T503" t="str">
        <f t="shared" ref="T503:U503" si="497">Q501</f>
        <v>Janeva Edinboro</v>
      </c>
      <c r="U503">
        <f t="shared" si="497"/>
        <v>28.679999999999996</v>
      </c>
    </row>
    <row r="504" spans="17:21" x14ac:dyDescent="0.25">
      <c r="Q504" s="3" t="s">
        <v>811</v>
      </c>
      <c r="R504" s="1">
        <v>28.53</v>
      </c>
      <c r="T504" t="str">
        <f t="shared" ref="T504:U504" si="498">Q502</f>
        <v>Chloris Sorrell</v>
      </c>
      <c r="U504">
        <f t="shared" si="498"/>
        <v>28.62</v>
      </c>
    </row>
    <row r="505" spans="17:21" x14ac:dyDescent="0.25">
      <c r="Q505" s="3" t="s">
        <v>920</v>
      </c>
      <c r="R505" s="1">
        <v>28.53</v>
      </c>
      <c r="T505" t="str">
        <f t="shared" ref="T505:U505" si="499">Q503</f>
        <v>Wilek Lightollers</v>
      </c>
      <c r="U505">
        <f t="shared" si="499"/>
        <v>28.574999999999999</v>
      </c>
    </row>
    <row r="506" spans="17:21" x14ac:dyDescent="0.25">
      <c r="Q506" s="3" t="s">
        <v>903</v>
      </c>
      <c r="R506" s="1">
        <v>28.53</v>
      </c>
      <c r="T506" t="str">
        <f t="shared" ref="T506:U506" si="500">Q504</f>
        <v>Silvio Strase</v>
      </c>
      <c r="U506">
        <f t="shared" si="500"/>
        <v>28.53</v>
      </c>
    </row>
    <row r="507" spans="17:21" x14ac:dyDescent="0.25">
      <c r="Q507" s="3" t="s">
        <v>136</v>
      </c>
      <c r="R507" s="1">
        <v>28.53</v>
      </c>
      <c r="T507" t="str">
        <f t="shared" ref="T507:U507" si="501">Q505</f>
        <v>Zachary Tramel</v>
      </c>
      <c r="U507">
        <f t="shared" si="501"/>
        <v>28.53</v>
      </c>
    </row>
    <row r="508" spans="17:21" x14ac:dyDescent="0.25">
      <c r="Q508" s="3" t="s">
        <v>74</v>
      </c>
      <c r="R508" s="1">
        <v>28.53</v>
      </c>
      <c r="T508" t="str">
        <f t="shared" ref="T508:U508" si="502">Q506</f>
        <v>Willy Pummery</v>
      </c>
      <c r="U508">
        <f t="shared" si="502"/>
        <v>28.53</v>
      </c>
    </row>
    <row r="509" spans="17:21" x14ac:dyDescent="0.25">
      <c r="Q509" s="3" t="s">
        <v>30</v>
      </c>
      <c r="R509" s="1">
        <v>28.53</v>
      </c>
      <c r="T509" t="str">
        <f t="shared" ref="T509:U509" si="503">Q507</f>
        <v>Brendan Grece</v>
      </c>
      <c r="U509">
        <f t="shared" si="503"/>
        <v>28.53</v>
      </c>
    </row>
    <row r="510" spans="17:21" x14ac:dyDescent="0.25">
      <c r="Q510" s="3" t="s">
        <v>196</v>
      </c>
      <c r="R510" s="1">
        <v>28.53</v>
      </c>
      <c r="T510" t="str">
        <f t="shared" ref="T510:U510" si="504">Q508</f>
        <v>Ardith Chill</v>
      </c>
      <c r="U510">
        <f t="shared" si="504"/>
        <v>28.53</v>
      </c>
    </row>
    <row r="511" spans="17:21" x14ac:dyDescent="0.25">
      <c r="Q511" s="3" t="s">
        <v>372</v>
      </c>
      <c r="R511" s="1">
        <v>27.945</v>
      </c>
      <c r="T511" t="str">
        <f t="shared" ref="T511:U511" si="505">Q509</f>
        <v>Alberta Balsdone</v>
      </c>
      <c r="U511">
        <f t="shared" si="505"/>
        <v>28.53</v>
      </c>
    </row>
    <row r="512" spans="17:21" x14ac:dyDescent="0.25">
      <c r="Q512" s="3" t="s">
        <v>247</v>
      </c>
      <c r="R512" s="1">
        <v>27.945</v>
      </c>
      <c r="T512" t="str">
        <f t="shared" ref="T512:U512" si="506">Q510</f>
        <v>Clement Vasiliev</v>
      </c>
      <c r="U512">
        <f t="shared" si="506"/>
        <v>28.53</v>
      </c>
    </row>
    <row r="513" spans="17:21" x14ac:dyDescent="0.25">
      <c r="Q513" s="3" t="s">
        <v>349</v>
      </c>
      <c r="R513" s="1">
        <v>27.674999999999997</v>
      </c>
      <c r="T513" t="str">
        <f t="shared" ref="T513:U513" si="507">Q511</f>
        <v>Goldie Wynes</v>
      </c>
      <c r="U513">
        <f t="shared" si="507"/>
        <v>27.945</v>
      </c>
    </row>
    <row r="514" spans="17:21" x14ac:dyDescent="0.25">
      <c r="Q514" s="3" t="s">
        <v>225</v>
      </c>
      <c r="R514" s="1">
        <v>27.5</v>
      </c>
      <c r="T514" t="str">
        <f t="shared" ref="T514:U514" si="508">Q512</f>
        <v>Denyse O'Calleran</v>
      </c>
      <c r="U514">
        <f t="shared" si="508"/>
        <v>27.945</v>
      </c>
    </row>
    <row r="515" spans="17:21" x14ac:dyDescent="0.25">
      <c r="Q515" s="3" t="s">
        <v>135</v>
      </c>
      <c r="R515" s="1">
        <v>27.5</v>
      </c>
      <c r="T515" t="str">
        <f t="shared" ref="T515:U515" si="509">Q513</f>
        <v>Gabie Tweed</v>
      </c>
      <c r="U515">
        <f t="shared" si="509"/>
        <v>27.674999999999997</v>
      </c>
    </row>
    <row r="516" spans="17:21" x14ac:dyDescent="0.25">
      <c r="Q516" s="3" t="s">
        <v>21</v>
      </c>
      <c r="R516" s="1">
        <v>27.5</v>
      </c>
      <c r="T516" t="str">
        <f t="shared" ref="T516:U516" si="510">Q514</f>
        <v>Cybill Graddell</v>
      </c>
      <c r="U516">
        <f t="shared" si="510"/>
        <v>27.5</v>
      </c>
    </row>
    <row r="517" spans="17:21" x14ac:dyDescent="0.25">
      <c r="Q517" s="3" t="s">
        <v>835</v>
      </c>
      <c r="R517" s="1">
        <v>27.484999999999996</v>
      </c>
      <c r="T517" t="str">
        <f t="shared" ref="T517:U517" si="511">Q515</f>
        <v>Bran Sterke</v>
      </c>
      <c r="U517">
        <f t="shared" si="511"/>
        <v>27.5</v>
      </c>
    </row>
    <row r="518" spans="17:21" x14ac:dyDescent="0.25">
      <c r="Q518" s="3" t="s">
        <v>443</v>
      </c>
      <c r="R518" s="1">
        <v>27.484999999999996</v>
      </c>
      <c r="T518" t="str">
        <f t="shared" ref="T518:U518" si="512">Q516</f>
        <v>Adolphe Treherne</v>
      </c>
      <c r="U518">
        <f t="shared" si="512"/>
        <v>27.5</v>
      </c>
    </row>
    <row r="519" spans="17:21" x14ac:dyDescent="0.25">
      <c r="Q519" s="3" t="s">
        <v>464</v>
      </c>
      <c r="R519" s="1">
        <v>27.484999999999996</v>
      </c>
      <c r="T519" t="str">
        <f t="shared" ref="T519:U519" si="513">Q517</f>
        <v>Tani Taffarello</v>
      </c>
      <c r="U519">
        <f t="shared" si="513"/>
        <v>27.484999999999996</v>
      </c>
    </row>
    <row r="520" spans="17:21" x14ac:dyDescent="0.25">
      <c r="Q520" s="3" t="s">
        <v>26</v>
      </c>
      <c r="R520" s="1">
        <v>27.484999999999996</v>
      </c>
      <c r="T520" t="str">
        <f t="shared" ref="T520:U520" si="514">Q518</f>
        <v>Izaak Primak</v>
      </c>
      <c r="U520">
        <f t="shared" si="514"/>
        <v>27.484999999999996</v>
      </c>
    </row>
    <row r="521" spans="17:21" x14ac:dyDescent="0.25">
      <c r="Q521" s="3" t="s">
        <v>637</v>
      </c>
      <c r="R521" s="1">
        <v>27.195</v>
      </c>
      <c r="T521" t="str">
        <f t="shared" ref="T521:U521" si="515">Q519</f>
        <v>Jennica Tewelson</v>
      </c>
      <c r="U521">
        <f t="shared" si="515"/>
        <v>27.484999999999996</v>
      </c>
    </row>
    <row r="522" spans="17:21" x14ac:dyDescent="0.25">
      <c r="Q522" s="3" t="s">
        <v>782</v>
      </c>
      <c r="R522" s="1">
        <v>27</v>
      </c>
      <c r="T522" t="str">
        <f t="shared" ref="T522:U522" si="516">Q520</f>
        <v>Adrianne Vairow</v>
      </c>
      <c r="U522">
        <f t="shared" si="516"/>
        <v>27.484999999999996</v>
      </c>
    </row>
    <row r="523" spans="17:21" x14ac:dyDescent="0.25">
      <c r="Q523" s="3" t="s">
        <v>583</v>
      </c>
      <c r="R523" s="1">
        <v>27</v>
      </c>
      <c r="T523" t="str">
        <f t="shared" ref="T523:U523" si="517">Q521</f>
        <v>Morgen Seson</v>
      </c>
      <c r="U523">
        <f t="shared" si="517"/>
        <v>27.195</v>
      </c>
    </row>
    <row r="524" spans="17:21" x14ac:dyDescent="0.25">
      <c r="Q524" s="3" t="s">
        <v>438</v>
      </c>
      <c r="R524" s="1">
        <v>27</v>
      </c>
      <c r="T524" t="str">
        <f t="shared" ref="T524:U524" si="518">Q522</f>
        <v>Selene Shales</v>
      </c>
      <c r="U524">
        <f t="shared" si="518"/>
        <v>27</v>
      </c>
    </row>
    <row r="525" spans="17:21" x14ac:dyDescent="0.25">
      <c r="Q525" s="3" t="s">
        <v>534</v>
      </c>
      <c r="R525" s="1">
        <v>27</v>
      </c>
      <c r="T525" t="str">
        <f t="shared" ref="T525:U525" si="519">Q523</f>
        <v>Maitilde Boxill</v>
      </c>
      <c r="U525">
        <f t="shared" si="519"/>
        <v>27</v>
      </c>
    </row>
    <row r="526" spans="17:21" x14ac:dyDescent="0.25">
      <c r="Q526" s="3" t="s">
        <v>268</v>
      </c>
      <c r="R526" s="1">
        <v>27</v>
      </c>
      <c r="T526" t="str">
        <f t="shared" ref="T526:U526" si="520">Q524</f>
        <v>Isahella Hagland</v>
      </c>
      <c r="U526">
        <f t="shared" si="520"/>
        <v>27</v>
      </c>
    </row>
    <row r="527" spans="17:21" x14ac:dyDescent="0.25">
      <c r="Q527" s="3" t="s">
        <v>352</v>
      </c>
      <c r="R527" s="1">
        <v>26.849999999999998</v>
      </c>
      <c r="T527" t="str">
        <f t="shared" ref="T527:U527" si="521">Q525</f>
        <v>Lauritz Ledgley</v>
      </c>
      <c r="U527">
        <f t="shared" si="521"/>
        <v>27</v>
      </c>
    </row>
    <row r="528" spans="17:21" x14ac:dyDescent="0.25">
      <c r="Q528" s="3" t="s">
        <v>799</v>
      </c>
      <c r="R528" s="1">
        <v>26.849999999999994</v>
      </c>
      <c r="T528" t="str">
        <f t="shared" ref="T528:U528" si="522">Q526</f>
        <v>Donalt Sangwin</v>
      </c>
      <c r="U528">
        <f t="shared" si="522"/>
        <v>27</v>
      </c>
    </row>
    <row r="529" spans="17:21" x14ac:dyDescent="0.25">
      <c r="Q529" s="3" t="s">
        <v>695</v>
      </c>
      <c r="R529" s="1">
        <v>26.849999999999994</v>
      </c>
      <c r="T529" t="str">
        <f t="shared" ref="T529:U529" si="523">Q527</f>
        <v>Gale Croysdale</v>
      </c>
      <c r="U529">
        <f t="shared" si="523"/>
        <v>26.849999999999998</v>
      </c>
    </row>
    <row r="530" spans="17:21" x14ac:dyDescent="0.25">
      <c r="Q530" s="3" t="s">
        <v>121</v>
      </c>
      <c r="R530" s="1">
        <v>26.849999999999994</v>
      </c>
      <c r="T530" t="str">
        <f t="shared" ref="T530:U530" si="524">Q528</f>
        <v>Sherman Mewrcik</v>
      </c>
      <c r="U530">
        <f t="shared" si="524"/>
        <v>26.849999999999994</v>
      </c>
    </row>
    <row r="531" spans="17:21" x14ac:dyDescent="0.25">
      <c r="Q531" s="3" t="s">
        <v>310</v>
      </c>
      <c r="R531" s="1">
        <v>26.849999999999994</v>
      </c>
      <c r="T531" t="str">
        <f t="shared" ref="T531:U531" si="525">Q529</f>
        <v>Pammi Endacott</v>
      </c>
      <c r="U531">
        <f t="shared" si="525"/>
        <v>26.849999999999994</v>
      </c>
    </row>
    <row r="532" spans="17:21" x14ac:dyDescent="0.25">
      <c r="Q532" s="3" t="s">
        <v>118</v>
      </c>
      <c r="R532" s="1">
        <v>26.849999999999994</v>
      </c>
      <c r="T532" t="str">
        <f t="shared" ref="T532:U532" si="526">Q530</f>
        <v>Birgit Domange</v>
      </c>
      <c r="U532">
        <f t="shared" si="526"/>
        <v>26.849999999999994</v>
      </c>
    </row>
    <row r="533" spans="17:21" x14ac:dyDescent="0.25">
      <c r="Q533" s="3" t="s">
        <v>914</v>
      </c>
      <c r="R533" s="1">
        <v>26.73</v>
      </c>
      <c r="T533" t="str">
        <f t="shared" ref="T533:U533" si="527">Q531</f>
        <v>Ericka Tripp</v>
      </c>
      <c r="U533">
        <f t="shared" si="527"/>
        <v>26.849999999999994</v>
      </c>
    </row>
    <row r="534" spans="17:21" x14ac:dyDescent="0.25">
      <c r="Q534" s="3" t="s">
        <v>355</v>
      </c>
      <c r="R534" s="1">
        <v>26.73</v>
      </c>
      <c r="T534" t="str">
        <f t="shared" ref="T534:U534" si="528">Q532</f>
        <v>Betty Fominov</v>
      </c>
      <c r="U534">
        <f t="shared" si="528"/>
        <v>26.849999999999994</v>
      </c>
    </row>
    <row r="535" spans="17:21" x14ac:dyDescent="0.25">
      <c r="Q535" s="3" t="s">
        <v>503</v>
      </c>
      <c r="R535" s="1">
        <v>26.73</v>
      </c>
      <c r="T535" t="str">
        <f t="shared" ref="T535:U535" si="529">Q533</f>
        <v>Yulma Dombrell</v>
      </c>
      <c r="U535">
        <f t="shared" si="529"/>
        <v>26.73</v>
      </c>
    </row>
    <row r="536" spans="17:21" x14ac:dyDescent="0.25">
      <c r="Q536" s="3" t="s">
        <v>23</v>
      </c>
      <c r="R536" s="1">
        <v>26.73</v>
      </c>
      <c r="T536" t="str">
        <f t="shared" ref="T536:U536" si="530">Q534</f>
        <v>Gardy Dimitriou</v>
      </c>
      <c r="U536">
        <f t="shared" si="530"/>
        <v>26.73</v>
      </c>
    </row>
    <row r="537" spans="17:21" x14ac:dyDescent="0.25">
      <c r="Q537" s="3" t="s">
        <v>888</v>
      </c>
      <c r="R537" s="1">
        <v>26.19</v>
      </c>
      <c r="T537" t="str">
        <f t="shared" ref="T537:U537" si="531">Q535</f>
        <v>Ken Lestrange</v>
      </c>
      <c r="U537">
        <f t="shared" si="531"/>
        <v>26.73</v>
      </c>
    </row>
    <row r="538" spans="17:21" x14ac:dyDescent="0.25">
      <c r="Q538" s="3" t="s">
        <v>713</v>
      </c>
      <c r="R538" s="1">
        <v>26.19</v>
      </c>
      <c r="T538" t="str">
        <f t="shared" ref="T538:U538" si="532">Q536</f>
        <v>Adorne Gregoratti</v>
      </c>
      <c r="U538">
        <f t="shared" si="532"/>
        <v>26.73</v>
      </c>
    </row>
    <row r="539" spans="17:21" x14ac:dyDescent="0.25">
      <c r="Q539" s="3" t="s">
        <v>829</v>
      </c>
      <c r="R539" s="1">
        <v>26.19</v>
      </c>
      <c r="T539" t="str">
        <f t="shared" ref="T539:U539" si="533">Q537</f>
        <v>Wain Stearley</v>
      </c>
      <c r="U539">
        <f t="shared" si="533"/>
        <v>26.19</v>
      </c>
    </row>
    <row r="540" spans="17:21" x14ac:dyDescent="0.25">
      <c r="Q540" s="3" t="s">
        <v>824</v>
      </c>
      <c r="R540" s="1">
        <v>26.19</v>
      </c>
      <c r="T540" t="str">
        <f t="shared" ref="T540:U540" si="534">Q538</f>
        <v>Pippo Witherington</v>
      </c>
      <c r="U540">
        <f t="shared" si="534"/>
        <v>26.19</v>
      </c>
    </row>
    <row r="541" spans="17:21" x14ac:dyDescent="0.25">
      <c r="Q541" s="3" t="s">
        <v>323</v>
      </c>
      <c r="R541" s="1">
        <v>26.19</v>
      </c>
      <c r="T541" t="str">
        <f t="shared" ref="T541:U541" si="535">Q539</f>
        <v>Stevana Woodham</v>
      </c>
      <c r="U541">
        <f t="shared" si="535"/>
        <v>26.19</v>
      </c>
    </row>
    <row r="542" spans="17:21" x14ac:dyDescent="0.25">
      <c r="Q542" s="3" t="s">
        <v>316</v>
      </c>
      <c r="R542" s="1">
        <v>26.19</v>
      </c>
      <c r="T542" t="str">
        <f t="shared" ref="T542:U542" si="536">Q540</f>
        <v>Stanislaus Gilroy</v>
      </c>
      <c r="U542">
        <f t="shared" si="536"/>
        <v>26.19</v>
      </c>
    </row>
    <row r="543" spans="17:21" x14ac:dyDescent="0.25">
      <c r="Q543" s="3" t="s">
        <v>53</v>
      </c>
      <c r="R543" s="1">
        <v>26.19</v>
      </c>
      <c r="T543" t="str">
        <f t="shared" ref="T543:U543" si="537">Q541</f>
        <v>Fanny Flanagan</v>
      </c>
      <c r="U543">
        <f t="shared" si="537"/>
        <v>26.19</v>
      </c>
    </row>
    <row r="544" spans="17:21" x14ac:dyDescent="0.25">
      <c r="Q544" s="3" t="s">
        <v>671</v>
      </c>
      <c r="R544" s="1">
        <v>25.9</v>
      </c>
      <c r="T544" t="str">
        <f t="shared" ref="T544:U544" si="538">Q542</f>
        <v>Eveleen Bletsor</v>
      </c>
      <c r="U544">
        <f t="shared" si="538"/>
        <v>26.19</v>
      </c>
    </row>
    <row r="545" spans="17:21" x14ac:dyDescent="0.25">
      <c r="Q545" s="3" t="s">
        <v>500</v>
      </c>
      <c r="R545" s="1">
        <v>25.9</v>
      </c>
      <c r="T545" t="str">
        <f t="shared" ref="T545:U545" si="539">Q543</f>
        <v>Ancell Fendt</v>
      </c>
      <c r="U545">
        <f t="shared" si="539"/>
        <v>26.19</v>
      </c>
    </row>
    <row r="546" spans="17:21" x14ac:dyDescent="0.25">
      <c r="Q546" s="3" t="s">
        <v>410</v>
      </c>
      <c r="R546" s="1">
        <v>25.9</v>
      </c>
      <c r="T546" t="str">
        <f t="shared" ref="T546:U546" si="540">Q544</f>
        <v>Nicolas Aiton</v>
      </c>
      <c r="U546">
        <f t="shared" si="540"/>
        <v>25.9</v>
      </c>
    </row>
    <row r="547" spans="17:21" x14ac:dyDescent="0.25">
      <c r="Q547" s="3" t="s">
        <v>457</v>
      </c>
      <c r="R547" s="1">
        <v>25.9</v>
      </c>
      <c r="T547" t="str">
        <f t="shared" ref="T547:U547" si="541">Q545</f>
        <v>Katerina Melloi</v>
      </c>
      <c r="U547">
        <f t="shared" si="541"/>
        <v>25.9</v>
      </c>
    </row>
    <row r="548" spans="17:21" x14ac:dyDescent="0.25">
      <c r="Q548" s="3" t="s">
        <v>455</v>
      </c>
      <c r="R548" s="1">
        <v>25.9</v>
      </c>
      <c r="T548" t="str">
        <f t="shared" ref="T548:U548" si="542">Q546</f>
        <v>Heloise Zeal</v>
      </c>
      <c r="U548">
        <f t="shared" si="542"/>
        <v>25.9</v>
      </c>
    </row>
    <row r="549" spans="17:21" x14ac:dyDescent="0.25">
      <c r="Q549" s="3" t="s">
        <v>256</v>
      </c>
      <c r="R549" s="1">
        <v>25.9</v>
      </c>
      <c r="T549" t="str">
        <f t="shared" ref="T549:U549" si="543">Q547</f>
        <v>Jarret Toye</v>
      </c>
      <c r="U549">
        <f t="shared" si="543"/>
        <v>25.9</v>
      </c>
    </row>
    <row r="550" spans="17:21" x14ac:dyDescent="0.25">
      <c r="Q550" s="3" t="s">
        <v>161</v>
      </c>
      <c r="R550" s="1">
        <v>25.874999999999996</v>
      </c>
      <c r="T550" t="str">
        <f t="shared" ref="T550:U550" si="544">Q548</f>
        <v>Jaquenette Skentelbery</v>
      </c>
      <c r="U550">
        <f t="shared" si="544"/>
        <v>25.9</v>
      </c>
    </row>
    <row r="551" spans="17:21" x14ac:dyDescent="0.25">
      <c r="Q551" s="3" t="s">
        <v>272</v>
      </c>
      <c r="R551" s="1">
        <v>25.874999999999996</v>
      </c>
      <c r="T551" t="str">
        <f t="shared" ref="T551:U551" si="545">Q549</f>
        <v>Diane-marie Wincer</v>
      </c>
      <c r="U551">
        <f t="shared" si="545"/>
        <v>25.9</v>
      </c>
    </row>
    <row r="552" spans="17:21" x14ac:dyDescent="0.25">
      <c r="Q552" s="3" t="s">
        <v>174</v>
      </c>
      <c r="R552" s="1">
        <v>25.68</v>
      </c>
      <c r="T552" t="str">
        <f t="shared" ref="T552:U552" si="546">Q550</f>
        <v>Cece Inker</v>
      </c>
      <c r="U552">
        <f t="shared" si="546"/>
        <v>25.874999999999996</v>
      </c>
    </row>
    <row r="553" spans="17:21" x14ac:dyDescent="0.25">
      <c r="Q553" s="3" t="s">
        <v>828</v>
      </c>
      <c r="R553" s="1">
        <v>24.75</v>
      </c>
      <c r="T553" t="str">
        <f t="shared" ref="T553:U553" si="547">Q551</f>
        <v>Donnie Hedlestone</v>
      </c>
      <c r="U553">
        <f t="shared" si="547"/>
        <v>25.874999999999996</v>
      </c>
    </row>
    <row r="554" spans="17:21" x14ac:dyDescent="0.25">
      <c r="Q554" s="3" t="s">
        <v>730</v>
      </c>
      <c r="R554" s="1">
        <v>24.75</v>
      </c>
      <c r="T554" t="str">
        <f t="shared" ref="T554:U554" si="548">Q552</f>
        <v>Charis Crosier</v>
      </c>
      <c r="U554">
        <f t="shared" si="548"/>
        <v>25.68</v>
      </c>
    </row>
    <row r="555" spans="17:21" x14ac:dyDescent="0.25">
      <c r="Q555" s="3" t="s">
        <v>545</v>
      </c>
      <c r="R555" s="1">
        <v>24.75</v>
      </c>
      <c r="T555" t="str">
        <f t="shared" ref="T555:U555" si="549">Q553</f>
        <v>Stearne Count</v>
      </c>
      <c r="U555">
        <f t="shared" si="549"/>
        <v>24.75</v>
      </c>
    </row>
    <row r="556" spans="17:21" x14ac:dyDescent="0.25">
      <c r="Q556" s="3" t="s">
        <v>770</v>
      </c>
      <c r="R556" s="1">
        <v>24.3</v>
      </c>
      <c r="T556" t="str">
        <f t="shared" ref="T556:U556" si="550">Q554</f>
        <v>Rasia Jacquemard</v>
      </c>
      <c r="U556">
        <f t="shared" si="550"/>
        <v>24.75</v>
      </c>
    </row>
    <row r="557" spans="17:21" x14ac:dyDescent="0.25">
      <c r="Q557" s="3" t="s">
        <v>644</v>
      </c>
      <c r="R557" s="1">
        <v>24.3</v>
      </c>
      <c r="T557" t="str">
        <f t="shared" ref="T557:U557" si="551">Q555</f>
        <v>Leonie Cullrford</v>
      </c>
      <c r="U557">
        <f t="shared" si="551"/>
        <v>24.75</v>
      </c>
    </row>
    <row r="558" spans="17:21" x14ac:dyDescent="0.25">
      <c r="Q558" s="3" t="s">
        <v>551</v>
      </c>
      <c r="R558" s="1">
        <v>24.3</v>
      </c>
      <c r="T558" t="str">
        <f t="shared" ref="T558:U558" si="552">Q556</f>
        <v>Ryann Stickler</v>
      </c>
      <c r="U558">
        <f t="shared" si="552"/>
        <v>24.3</v>
      </c>
    </row>
    <row r="559" spans="17:21" x14ac:dyDescent="0.25">
      <c r="Q559" s="3" t="s">
        <v>415</v>
      </c>
      <c r="R559" s="1">
        <v>24.3</v>
      </c>
      <c r="T559" t="str">
        <f t="shared" ref="T559:U559" si="553">Q557</f>
        <v>Myles Seawright</v>
      </c>
      <c r="U559">
        <f t="shared" si="553"/>
        <v>24.3</v>
      </c>
    </row>
    <row r="560" spans="17:21" x14ac:dyDescent="0.25">
      <c r="Q560" s="3" t="s">
        <v>212</v>
      </c>
      <c r="R560" s="1">
        <v>24.3</v>
      </c>
      <c r="T560" t="str">
        <f t="shared" ref="T560:U560" si="554">Q558</f>
        <v>Lind Conyers</v>
      </c>
      <c r="U560">
        <f t="shared" si="554"/>
        <v>24.3</v>
      </c>
    </row>
    <row r="561" spans="17:21" x14ac:dyDescent="0.25">
      <c r="Q561" s="3" t="s">
        <v>650</v>
      </c>
      <c r="R561" s="1">
        <v>23.9</v>
      </c>
      <c r="T561" t="str">
        <f t="shared" ref="T561:U561" si="555">Q559</f>
        <v>Hetti Measures</v>
      </c>
      <c r="U561">
        <f t="shared" si="555"/>
        <v>24.3</v>
      </c>
    </row>
    <row r="562" spans="17:21" x14ac:dyDescent="0.25">
      <c r="Q562" s="3" t="s">
        <v>449</v>
      </c>
      <c r="R562" s="1">
        <v>23.9</v>
      </c>
      <c r="T562" t="str">
        <f t="shared" ref="T562:U562" si="556">Q560</f>
        <v>Corinna Catcheside</v>
      </c>
      <c r="U562">
        <f t="shared" si="556"/>
        <v>24.3</v>
      </c>
    </row>
    <row r="563" spans="17:21" x14ac:dyDescent="0.25">
      <c r="Q563" s="3" t="s">
        <v>513</v>
      </c>
      <c r="R563" s="1">
        <v>23.9</v>
      </c>
      <c r="T563" t="str">
        <f t="shared" ref="T563:U563" si="557">Q561</f>
        <v>Nanny Izhakov</v>
      </c>
      <c r="U563">
        <f t="shared" si="557"/>
        <v>23.9</v>
      </c>
    </row>
    <row r="564" spans="17:21" x14ac:dyDescent="0.25">
      <c r="Q564" s="3" t="s">
        <v>916</v>
      </c>
      <c r="R564" s="1">
        <v>23.88</v>
      </c>
      <c r="T564" t="str">
        <f t="shared" ref="T564:U564" si="558">Q562</f>
        <v>Jammie Cloke</v>
      </c>
      <c r="U564">
        <f t="shared" si="558"/>
        <v>23.9</v>
      </c>
    </row>
    <row r="565" spans="17:21" x14ac:dyDescent="0.25">
      <c r="Q565" s="3" t="s">
        <v>689</v>
      </c>
      <c r="R565" s="1">
        <v>23.88</v>
      </c>
      <c r="T565" t="str">
        <f t="shared" ref="T565:U565" si="559">Q563</f>
        <v>Kim Kemery</v>
      </c>
      <c r="U565">
        <f t="shared" si="559"/>
        <v>23.9</v>
      </c>
    </row>
    <row r="566" spans="17:21" x14ac:dyDescent="0.25">
      <c r="Q566" s="3" t="s">
        <v>885</v>
      </c>
      <c r="R566" s="1">
        <v>23.88</v>
      </c>
      <c r="T566" t="str">
        <f t="shared" ref="T566:U566" si="560">Q564</f>
        <v>Yuri Burrells</v>
      </c>
      <c r="U566">
        <f t="shared" si="560"/>
        <v>23.88</v>
      </c>
    </row>
    <row r="567" spans="17:21" x14ac:dyDescent="0.25">
      <c r="Q567" s="3" t="s">
        <v>584</v>
      </c>
      <c r="R567" s="1">
        <v>23.88</v>
      </c>
      <c r="T567" t="str">
        <f t="shared" ref="T567:U567" si="561">Q565</f>
        <v>Orland Tadman</v>
      </c>
      <c r="U567">
        <f t="shared" si="561"/>
        <v>23.88</v>
      </c>
    </row>
    <row r="568" spans="17:21" x14ac:dyDescent="0.25">
      <c r="Q568" s="3" t="s">
        <v>581</v>
      </c>
      <c r="R568" s="1">
        <v>23.88</v>
      </c>
      <c r="T568" t="str">
        <f t="shared" ref="T568:U568" si="562">Q566</f>
        <v>Vivyan Ceely</v>
      </c>
      <c r="U568">
        <f t="shared" si="562"/>
        <v>23.88</v>
      </c>
    </row>
    <row r="569" spans="17:21" x14ac:dyDescent="0.25">
      <c r="Q569" s="3" t="s">
        <v>484</v>
      </c>
      <c r="R569" s="1">
        <v>23.88</v>
      </c>
      <c r="T569" t="str">
        <f t="shared" ref="T569:U569" si="563">Q567</f>
        <v>Mallory Shrimpling</v>
      </c>
      <c r="U569">
        <f t="shared" si="563"/>
        <v>23.88</v>
      </c>
    </row>
    <row r="570" spans="17:21" x14ac:dyDescent="0.25">
      <c r="Q570" s="3" t="s">
        <v>679</v>
      </c>
      <c r="R570" s="1">
        <v>23.774999999999999</v>
      </c>
      <c r="T570" t="str">
        <f t="shared" ref="T570:U570" si="564">Q568</f>
        <v>Mahala Ludwell</v>
      </c>
      <c r="U570">
        <f t="shared" si="564"/>
        <v>23.88</v>
      </c>
    </row>
    <row r="571" spans="17:21" x14ac:dyDescent="0.25">
      <c r="Q571" s="3" t="s">
        <v>747</v>
      </c>
      <c r="R571" s="1">
        <v>23.774999999999999</v>
      </c>
      <c r="T571" t="str">
        <f t="shared" ref="T571:U571" si="565">Q569</f>
        <v>Joshuah Awdry</v>
      </c>
      <c r="U571">
        <f t="shared" si="565"/>
        <v>23.88</v>
      </c>
    </row>
    <row r="572" spans="17:21" x14ac:dyDescent="0.25">
      <c r="Q572" s="3" t="s">
        <v>812</v>
      </c>
      <c r="R572" s="1">
        <v>23.774999999999999</v>
      </c>
      <c r="T572" t="str">
        <f t="shared" ref="T572:U572" si="566">Q570</f>
        <v>Nona Linklater</v>
      </c>
      <c r="U572">
        <f t="shared" si="566"/>
        <v>23.774999999999999</v>
      </c>
    </row>
    <row r="573" spans="17:21" x14ac:dyDescent="0.25">
      <c r="Q573" s="3" t="s">
        <v>550</v>
      </c>
      <c r="R573" s="1">
        <v>23.774999999999999</v>
      </c>
      <c r="T573" t="str">
        <f t="shared" ref="T573:U573" si="567">Q571</f>
        <v>Rhodie Strathern</v>
      </c>
      <c r="U573">
        <f t="shared" si="567"/>
        <v>23.774999999999999</v>
      </c>
    </row>
    <row r="574" spans="17:21" x14ac:dyDescent="0.25">
      <c r="Q574" s="3" t="s">
        <v>499</v>
      </c>
      <c r="R574" s="1">
        <v>23.774999999999999</v>
      </c>
      <c r="T574" t="str">
        <f t="shared" ref="T574:U574" si="568">Q572</f>
        <v>Sim Pamphilon</v>
      </c>
      <c r="U574">
        <f t="shared" si="568"/>
        <v>23.774999999999999</v>
      </c>
    </row>
    <row r="575" spans="17:21" x14ac:dyDescent="0.25">
      <c r="Q575" s="3" t="s">
        <v>354</v>
      </c>
      <c r="R575" s="1">
        <v>23.774999999999999</v>
      </c>
      <c r="T575" t="str">
        <f t="shared" ref="T575:U575" si="569">Q573</f>
        <v>Lexie Mallan</v>
      </c>
      <c r="U575">
        <f t="shared" si="569"/>
        <v>23.774999999999999</v>
      </c>
    </row>
    <row r="576" spans="17:21" x14ac:dyDescent="0.25">
      <c r="Q576" s="3" t="s">
        <v>46</v>
      </c>
      <c r="R576" s="1">
        <v>23.774999999999999</v>
      </c>
      <c r="T576" t="str">
        <f t="shared" ref="T576:U576" si="570">Q574</f>
        <v>Karylin Huddart</v>
      </c>
      <c r="U576">
        <f t="shared" si="570"/>
        <v>23.774999999999999</v>
      </c>
    </row>
    <row r="577" spans="17:21" x14ac:dyDescent="0.25">
      <c r="Q577" s="3" t="s">
        <v>206</v>
      </c>
      <c r="R577" s="1">
        <v>23.774999999999999</v>
      </c>
      <c r="T577" t="str">
        <f t="shared" ref="T577:U577" si="571">Q575</f>
        <v>Gallard Gatheral</v>
      </c>
      <c r="U577">
        <f t="shared" si="571"/>
        <v>23.774999999999999</v>
      </c>
    </row>
    <row r="578" spans="17:21" x14ac:dyDescent="0.25">
      <c r="Q578" s="3" t="s">
        <v>807</v>
      </c>
      <c r="R578" s="1">
        <v>23.31</v>
      </c>
      <c r="T578" t="str">
        <f t="shared" ref="T578:U578" si="572">Q576</f>
        <v>Alvis Elwin</v>
      </c>
      <c r="U578">
        <f t="shared" si="572"/>
        <v>23.774999999999999</v>
      </c>
    </row>
    <row r="579" spans="17:21" x14ac:dyDescent="0.25">
      <c r="Q579" s="3" t="s">
        <v>776</v>
      </c>
      <c r="R579" s="1">
        <v>23.31</v>
      </c>
      <c r="T579" t="str">
        <f t="shared" ref="T579:U579" si="573">Q577</f>
        <v>Conny Gheraldi</v>
      </c>
      <c r="U579">
        <f t="shared" si="573"/>
        <v>23.774999999999999</v>
      </c>
    </row>
    <row r="580" spans="17:21" x14ac:dyDescent="0.25">
      <c r="Q580" s="3" t="s">
        <v>890</v>
      </c>
      <c r="R580" s="1">
        <v>23.31</v>
      </c>
      <c r="T580" t="str">
        <f t="shared" ref="T580:U580" si="574">Q578</f>
        <v>Silvan McShea</v>
      </c>
      <c r="U580">
        <f t="shared" si="574"/>
        <v>23.31</v>
      </c>
    </row>
    <row r="581" spans="17:21" x14ac:dyDescent="0.25">
      <c r="Q581" s="3" t="s">
        <v>735</v>
      </c>
      <c r="R581" s="1">
        <v>23.31</v>
      </c>
      <c r="T581" t="str">
        <f t="shared" ref="T581:U581" si="575">Q579</f>
        <v>Sarajane Potter</v>
      </c>
      <c r="U581">
        <f t="shared" si="575"/>
        <v>23.31</v>
      </c>
    </row>
    <row r="582" spans="17:21" x14ac:dyDescent="0.25">
      <c r="Q582" s="3" t="s">
        <v>739</v>
      </c>
      <c r="R582" s="1">
        <v>23.31</v>
      </c>
      <c r="T582" t="str">
        <f t="shared" ref="T582:U582" si="576">Q580</f>
        <v>Waneta Edinborough</v>
      </c>
      <c r="U582">
        <f t="shared" si="576"/>
        <v>23.31</v>
      </c>
    </row>
    <row r="583" spans="17:21" x14ac:dyDescent="0.25">
      <c r="Q583" s="3" t="s">
        <v>665</v>
      </c>
      <c r="R583" s="1">
        <v>23.31</v>
      </c>
      <c r="T583" t="str">
        <f t="shared" ref="T583:U583" si="577">Q581</f>
        <v>Rebeka Worg</v>
      </c>
      <c r="U583">
        <f t="shared" si="577"/>
        <v>23.31</v>
      </c>
    </row>
    <row r="584" spans="17:21" x14ac:dyDescent="0.25">
      <c r="Q584" s="3" t="s">
        <v>818</v>
      </c>
      <c r="R584" s="1">
        <v>23.31</v>
      </c>
      <c r="T584" t="str">
        <f t="shared" ref="T584:U584" si="578">Q582</f>
        <v>Reggis Pracy</v>
      </c>
      <c r="U584">
        <f t="shared" si="578"/>
        <v>23.31</v>
      </c>
    </row>
    <row r="585" spans="17:21" x14ac:dyDescent="0.25">
      <c r="Q585" s="3" t="s">
        <v>425</v>
      </c>
      <c r="R585" s="1">
        <v>23.31</v>
      </c>
      <c r="T585" t="str">
        <f t="shared" ref="T585:U585" si="579">Q583</f>
        <v>Nick Brakespear</v>
      </c>
      <c r="U585">
        <f t="shared" si="579"/>
        <v>23.31</v>
      </c>
    </row>
    <row r="586" spans="17:21" x14ac:dyDescent="0.25">
      <c r="Q586" s="3" t="s">
        <v>522</v>
      </c>
      <c r="R586" s="1">
        <v>23.31</v>
      </c>
      <c r="T586" t="str">
        <f t="shared" ref="T586:U586" si="580">Q584</f>
        <v>Skylar Jeyness</v>
      </c>
      <c r="U586">
        <f t="shared" si="580"/>
        <v>23.31</v>
      </c>
    </row>
    <row r="587" spans="17:21" x14ac:dyDescent="0.25">
      <c r="Q587" s="3" t="s">
        <v>454</v>
      </c>
      <c r="R587" s="1">
        <v>23.31</v>
      </c>
      <c r="T587" t="str">
        <f t="shared" ref="T587:U587" si="581">Q585</f>
        <v>Ilka Gurnee</v>
      </c>
      <c r="U587">
        <f t="shared" si="581"/>
        <v>23.31</v>
      </c>
    </row>
    <row r="588" spans="17:21" x14ac:dyDescent="0.25">
      <c r="Q588" s="3" t="s">
        <v>504</v>
      </c>
      <c r="R588" s="1">
        <v>23.31</v>
      </c>
      <c r="T588" t="str">
        <f t="shared" ref="T588:U588" si="582">Q586</f>
        <v>Koren Ferretti</v>
      </c>
      <c r="U588">
        <f t="shared" si="582"/>
        <v>23.31</v>
      </c>
    </row>
    <row r="589" spans="17:21" x14ac:dyDescent="0.25">
      <c r="Q589" s="3" t="s">
        <v>547</v>
      </c>
      <c r="R589" s="1">
        <v>23.31</v>
      </c>
      <c r="T589" t="str">
        <f t="shared" ref="T589:U589" si="583">Q587</f>
        <v>Jany Rudeforth</v>
      </c>
      <c r="U589">
        <f t="shared" si="583"/>
        <v>23.31</v>
      </c>
    </row>
    <row r="590" spans="17:21" x14ac:dyDescent="0.25">
      <c r="Q590" s="3" t="s">
        <v>126</v>
      </c>
      <c r="R590" s="1">
        <v>23.31</v>
      </c>
      <c r="T590" t="str">
        <f t="shared" ref="T590:U590" si="584">Q588</f>
        <v>Kendra Backshell</v>
      </c>
      <c r="U590">
        <f t="shared" si="584"/>
        <v>23.31</v>
      </c>
    </row>
    <row r="591" spans="17:21" x14ac:dyDescent="0.25">
      <c r="Q591" s="3" t="s">
        <v>55</v>
      </c>
      <c r="R591" s="1">
        <v>23.31</v>
      </c>
      <c r="T591" t="str">
        <f t="shared" ref="T591:U591" si="585">Q589</f>
        <v>Leontine Rubrow</v>
      </c>
      <c r="U591">
        <f t="shared" si="585"/>
        <v>23.31</v>
      </c>
    </row>
    <row r="592" spans="17:21" x14ac:dyDescent="0.25">
      <c r="Q592" s="3" t="s">
        <v>288</v>
      </c>
      <c r="R592" s="1">
        <v>23.31</v>
      </c>
      <c r="T592" t="str">
        <f t="shared" ref="T592:U592" si="586">Q590</f>
        <v>Bobbe Castagneto</v>
      </c>
      <c r="U592">
        <f t="shared" si="586"/>
        <v>23.31</v>
      </c>
    </row>
    <row r="593" spans="17:21" x14ac:dyDescent="0.25">
      <c r="Q593" s="3" t="s">
        <v>222</v>
      </c>
      <c r="R593" s="1">
        <v>23.31</v>
      </c>
      <c r="T593" t="str">
        <f t="shared" ref="T593:U593" si="587">Q591</f>
        <v>Andrej Havick</v>
      </c>
      <c r="U593">
        <f t="shared" si="587"/>
        <v>23.31</v>
      </c>
    </row>
    <row r="594" spans="17:21" x14ac:dyDescent="0.25">
      <c r="Q594" s="3" t="s">
        <v>646</v>
      </c>
      <c r="R594" s="1">
        <v>22.884999999999998</v>
      </c>
      <c r="T594" t="str">
        <f t="shared" ref="T594:U594" si="588">Q592</f>
        <v>Edeline Edney</v>
      </c>
      <c r="U594">
        <f t="shared" si="588"/>
        <v>23.31</v>
      </c>
    </row>
    <row r="595" spans="17:21" x14ac:dyDescent="0.25">
      <c r="Q595" s="3" t="s">
        <v>401</v>
      </c>
      <c r="R595" s="1">
        <v>22.884999999999998</v>
      </c>
      <c r="T595" t="str">
        <f t="shared" ref="T595:U595" si="589">Q593</f>
        <v>Cristina Aleixo</v>
      </c>
      <c r="U595">
        <f t="shared" si="589"/>
        <v>23.31</v>
      </c>
    </row>
    <row r="596" spans="17:21" x14ac:dyDescent="0.25">
      <c r="Q596" s="3" t="s">
        <v>559</v>
      </c>
      <c r="R596" s="1">
        <v>22.884999999999998</v>
      </c>
      <c r="T596" t="str">
        <f t="shared" ref="T596:U596" si="590">Q594</f>
        <v>Nadeen Broomer</v>
      </c>
      <c r="U596">
        <f t="shared" si="590"/>
        <v>22.884999999999998</v>
      </c>
    </row>
    <row r="597" spans="17:21" x14ac:dyDescent="0.25">
      <c r="Q597" s="3" t="s">
        <v>211</v>
      </c>
      <c r="R597" s="1">
        <v>22.884999999999998</v>
      </c>
      <c r="T597" t="str">
        <f t="shared" ref="T597:U597" si="591">Q595</f>
        <v>Haslett Jodrelle</v>
      </c>
      <c r="U597">
        <f t="shared" si="591"/>
        <v>22.884999999999998</v>
      </c>
    </row>
    <row r="598" spans="17:21" x14ac:dyDescent="0.25">
      <c r="Q598" s="3" t="s">
        <v>661</v>
      </c>
      <c r="R598" s="1">
        <v>22.5</v>
      </c>
      <c r="T598" t="str">
        <f t="shared" ref="T598:U598" si="592">Q596</f>
        <v>Lora Dukes</v>
      </c>
      <c r="U598">
        <f t="shared" si="592"/>
        <v>22.884999999999998</v>
      </c>
    </row>
    <row r="599" spans="17:21" x14ac:dyDescent="0.25">
      <c r="Q599" s="3" t="s">
        <v>754</v>
      </c>
      <c r="R599" s="1">
        <v>22.5</v>
      </c>
      <c r="T599" t="str">
        <f t="shared" ref="T599:U599" si="593">Q597</f>
        <v>Corine Drewett</v>
      </c>
      <c r="U599">
        <f t="shared" si="593"/>
        <v>22.884999999999998</v>
      </c>
    </row>
    <row r="600" spans="17:21" x14ac:dyDescent="0.25">
      <c r="Q600" s="3" t="s">
        <v>473</v>
      </c>
      <c r="R600" s="1">
        <v>22.5</v>
      </c>
      <c r="T600" t="str">
        <f t="shared" ref="T600:U600" si="594">Q598</f>
        <v>Nertie Poolman</v>
      </c>
      <c r="U600">
        <f t="shared" si="594"/>
        <v>22.5</v>
      </c>
    </row>
    <row r="601" spans="17:21" x14ac:dyDescent="0.25">
      <c r="Q601" s="3" t="s">
        <v>194</v>
      </c>
      <c r="R601" s="1">
        <v>22.5</v>
      </c>
      <c r="T601" t="str">
        <f t="shared" ref="T601:U601" si="595">Q599</f>
        <v>Rod Gowdie</v>
      </c>
      <c r="U601">
        <f t="shared" si="595"/>
        <v>22.5</v>
      </c>
    </row>
    <row r="602" spans="17:21" x14ac:dyDescent="0.25">
      <c r="Q602" s="3" t="s">
        <v>313</v>
      </c>
      <c r="R602" s="1">
        <v>22.5</v>
      </c>
      <c r="T602" t="str">
        <f t="shared" ref="T602:U602" si="596">Q600</f>
        <v>Jilly Dreng</v>
      </c>
      <c r="U602">
        <f t="shared" si="596"/>
        <v>22.5</v>
      </c>
    </row>
    <row r="603" spans="17:21" x14ac:dyDescent="0.25">
      <c r="Q603" s="3" t="s">
        <v>850</v>
      </c>
      <c r="R603" s="1">
        <v>22.274999999999999</v>
      </c>
      <c r="T603" t="str">
        <f t="shared" ref="T603:U603" si="597">Q601</f>
        <v>Claudie Weond</v>
      </c>
      <c r="U603">
        <f t="shared" si="597"/>
        <v>22.5</v>
      </c>
    </row>
    <row r="604" spans="17:21" x14ac:dyDescent="0.25">
      <c r="Q604" s="3" t="s">
        <v>197</v>
      </c>
      <c r="R604" s="1">
        <v>22.274999999999999</v>
      </c>
      <c r="T604" t="str">
        <f t="shared" ref="T604:U604" si="598">Q602</f>
        <v>Ethel Ryles</v>
      </c>
      <c r="U604">
        <f t="shared" si="598"/>
        <v>22.5</v>
      </c>
    </row>
    <row r="605" spans="17:21" x14ac:dyDescent="0.25">
      <c r="Q605" s="3" t="s">
        <v>302</v>
      </c>
      <c r="R605" s="1">
        <v>22.274999999999999</v>
      </c>
      <c r="T605" t="str">
        <f t="shared" ref="T605:U605" si="599">Q603</f>
        <v>Theo Bowne</v>
      </c>
      <c r="U605">
        <f t="shared" si="599"/>
        <v>22.274999999999999</v>
      </c>
    </row>
    <row r="606" spans="17:21" x14ac:dyDescent="0.25">
      <c r="Q606" s="3" t="s">
        <v>808</v>
      </c>
      <c r="R606" s="1">
        <v>21.87</v>
      </c>
      <c r="T606" t="str">
        <f t="shared" ref="T606:U606" si="600">Q604</f>
        <v>Cleopatra Goodrum</v>
      </c>
      <c r="U606">
        <f t="shared" si="600"/>
        <v>22.274999999999999</v>
      </c>
    </row>
    <row r="607" spans="17:21" x14ac:dyDescent="0.25">
      <c r="Q607" s="3" t="s">
        <v>641</v>
      </c>
      <c r="R607" s="1">
        <v>21.87</v>
      </c>
      <c r="T607" t="str">
        <f t="shared" ref="T607:U607" si="601">Q605</f>
        <v>Emalee Rolin</v>
      </c>
      <c r="U607">
        <f t="shared" si="601"/>
        <v>22.274999999999999</v>
      </c>
    </row>
    <row r="608" spans="17:21" x14ac:dyDescent="0.25">
      <c r="Q608" s="3" t="s">
        <v>753</v>
      </c>
      <c r="R608" s="1">
        <v>21.87</v>
      </c>
      <c r="T608" t="str">
        <f t="shared" ref="T608:U608" si="602">Q606</f>
        <v>Silvana Northeast</v>
      </c>
      <c r="U608">
        <f t="shared" si="602"/>
        <v>21.87</v>
      </c>
    </row>
    <row r="609" spans="17:21" x14ac:dyDescent="0.25">
      <c r="Q609" s="3" t="s">
        <v>793</v>
      </c>
      <c r="R609" s="1">
        <v>21.87</v>
      </c>
      <c r="T609" t="str">
        <f t="shared" ref="T609:U609" si="603">Q607</f>
        <v>Muffin Yallop</v>
      </c>
      <c r="U609">
        <f t="shared" si="603"/>
        <v>21.87</v>
      </c>
    </row>
    <row r="610" spans="17:21" x14ac:dyDescent="0.25">
      <c r="Q610" s="3" t="s">
        <v>483</v>
      </c>
      <c r="R610" s="1">
        <v>21.87</v>
      </c>
      <c r="T610" t="str">
        <f t="shared" ref="T610:U610" si="604">Q608</f>
        <v>Rochette Huscroft</v>
      </c>
      <c r="U610">
        <f t="shared" si="604"/>
        <v>21.87</v>
      </c>
    </row>
    <row r="611" spans="17:21" x14ac:dyDescent="0.25">
      <c r="Q611" s="3" t="s">
        <v>294</v>
      </c>
      <c r="R611" s="1">
        <v>21.87</v>
      </c>
      <c r="T611" t="str">
        <f t="shared" ref="T611:U611" si="605">Q609</f>
        <v>Shaylynn Lobe</v>
      </c>
      <c r="U611">
        <f t="shared" si="605"/>
        <v>21.87</v>
      </c>
    </row>
    <row r="612" spans="17:21" x14ac:dyDescent="0.25">
      <c r="Q612" s="3" t="s">
        <v>94</v>
      </c>
      <c r="R612" s="1">
        <v>21.87</v>
      </c>
      <c r="T612" t="str">
        <f t="shared" ref="T612:U612" si="606">Q610</f>
        <v>Josefina Ferens</v>
      </c>
      <c r="U612">
        <f t="shared" si="606"/>
        <v>21.87</v>
      </c>
    </row>
    <row r="613" spans="17:21" x14ac:dyDescent="0.25">
      <c r="Q613" s="3" t="s">
        <v>180</v>
      </c>
      <c r="R613" s="1">
        <v>21.87</v>
      </c>
      <c r="T613" t="str">
        <f t="shared" ref="T613:U613" si="607">Q611</f>
        <v>Elka Windress</v>
      </c>
      <c r="U613">
        <f t="shared" si="607"/>
        <v>21.87</v>
      </c>
    </row>
    <row r="614" spans="17:21" x14ac:dyDescent="0.25">
      <c r="Q614" s="3" t="s">
        <v>282</v>
      </c>
      <c r="R614" s="1">
        <v>21.87</v>
      </c>
      <c r="T614" t="str">
        <f t="shared" ref="T614:U614" si="608">Q612</f>
        <v>Bartholemy Flaherty</v>
      </c>
      <c r="U614">
        <f t="shared" si="608"/>
        <v>21.87</v>
      </c>
    </row>
    <row r="615" spans="17:21" x14ac:dyDescent="0.25">
      <c r="Q615" s="3" t="s">
        <v>88</v>
      </c>
      <c r="R615" s="1">
        <v>21.87</v>
      </c>
      <c r="T615" t="str">
        <f t="shared" ref="T615:U615" si="609">Q613</f>
        <v>Chloette Bernardot</v>
      </c>
      <c r="U615">
        <f t="shared" si="609"/>
        <v>21.87</v>
      </c>
    </row>
    <row r="616" spans="17:21" x14ac:dyDescent="0.25">
      <c r="Q616" s="3" t="s">
        <v>823</v>
      </c>
      <c r="R616" s="1">
        <v>21.825000000000003</v>
      </c>
      <c r="T616" t="str">
        <f t="shared" ref="T616:U616" si="610">Q614</f>
        <v>Dottie Tift</v>
      </c>
      <c r="U616">
        <f t="shared" si="610"/>
        <v>21.87</v>
      </c>
    </row>
    <row r="617" spans="17:21" x14ac:dyDescent="0.25">
      <c r="Q617" s="3" t="s">
        <v>37</v>
      </c>
      <c r="R617" s="1">
        <v>21.825000000000003</v>
      </c>
      <c r="T617" t="str">
        <f t="shared" ref="T617:U617" si="611">Q615</f>
        <v>Babb Pollins</v>
      </c>
      <c r="U617">
        <f t="shared" si="611"/>
        <v>21.87</v>
      </c>
    </row>
    <row r="618" spans="17:21" x14ac:dyDescent="0.25">
      <c r="Q618" s="3" t="s">
        <v>108</v>
      </c>
      <c r="R618" s="1">
        <v>21.825000000000003</v>
      </c>
      <c r="T618" t="str">
        <f t="shared" ref="T618:U618" si="612">Q616</f>
        <v>Stanford Rodliff</v>
      </c>
      <c r="U618">
        <f t="shared" si="612"/>
        <v>21.825000000000003</v>
      </c>
    </row>
    <row r="619" spans="17:21" x14ac:dyDescent="0.25">
      <c r="Q619" s="3" t="s">
        <v>639</v>
      </c>
      <c r="R619" s="1">
        <v>21.509999999999998</v>
      </c>
      <c r="T619" t="str">
        <f t="shared" ref="T619:U619" si="613">Q617</f>
        <v>Alikee Carryer</v>
      </c>
      <c r="U619">
        <f t="shared" si="613"/>
        <v>21.825000000000003</v>
      </c>
    </row>
    <row r="620" spans="17:21" x14ac:dyDescent="0.25">
      <c r="Q620" s="3" t="s">
        <v>830</v>
      </c>
      <c r="R620" s="1">
        <v>21.509999999999998</v>
      </c>
      <c r="T620" t="str">
        <f t="shared" ref="T620:U620" si="614">Q618</f>
        <v>Benn Checci</v>
      </c>
      <c r="U620">
        <f t="shared" si="614"/>
        <v>21.825000000000003</v>
      </c>
    </row>
    <row r="621" spans="17:21" x14ac:dyDescent="0.25">
      <c r="Q621" s="3" t="s">
        <v>749</v>
      </c>
      <c r="R621" s="1">
        <v>21.509999999999998</v>
      </c>
      <c r="T621" t="str">
        <f t="shared" ref="T621:U621" si="615">Q619</f>
        <v>Morna Hansed</v>
      </c>
      <c r="U621">
        <f t="shared" si="615"/>
        <v>21.509999999999998</v>
      </c>
    </row>
    <row r="622" spans="17:21" x14ac:dyDescent="0.25">
      <c r="Q622" s="3" t="s">
        <v>854</v>
      </c>
      <c r="R622" s="1">
        <v>21.509999999999998</v>
      </c>
      <c r="T622" t="str">
        <f t="shared" ref="T622:U622" si="616">Q620</f>
        <v>Suzanna Bollam</v>
      </c>
      <c r="U622">
        <f t="shared" si="616"/>
        <v>21.509999999999998</v>
      </c>
    </row>
    <row r="623" spans="17:21" x14ac:dyDescent="0.25">
      <c r="Q623" s="3" t="s">
        <v>758</v>
      </c>
      <c r="R623" s="1">
        <v>21.509999999999998</v>
      </c>
      <c r="T623" t="str">
        <f t="shared" ref="T623:U623" si="617">Q621</f>
        <v>Rickey Readie</v>
      </c>
      <c r="U623">
        <f t="shared" si="617"/>
        <v>21.509999999999998</v>
      </c>
    </row>
    <row r="624" spans="17:21" x14ac:dyDescent="0.25">
      <c r="Q624" s="3" t="s">
        <v>915</v>
      </c>
      <c r="R624" s="1">
        <v>21.509999999999998</v>
      </c>
      <c r="T624" t="str">
        <f t="shared" ref="T624:U624" si="618">Q622</f>
        <v>Tildie Tilzey</v>
      </c>
      <c r="U624">
        <f t="shared" si="618"/>
        <v>21.509999999999998</v>
      </c>
    </row>
    <row r="625" spans="17:21" x14ac:dyDescent="0.25">
      <c r="Q625" s="3" t="s">
        <v>427</v>
      </c>
      <c r="R625" s="1">
        <v>21.509999999999998</v>
      </c>
      <c r="T625" t="str">
        <f t="shared" ref="T625:U625" si="619">Q623</f>
        <v>Ronda Pyson</v>
      </c>
      <c r="U625">
        <f t="shared" si="619"/>
        <v>21.509999999999998</v>
      </c>
    </row>
    <row r="626" spans="17:21" x14ac:dyDescent="0.25">
      <c r="Q626" s="3" t="s">
        <v>580</v>
      </c>
      <c r="R626" s="1">
        <v>21.509999999999998</v>
      </c>
      <c r="T626" t="str">
        <f t="shared" ref="T626:U626" si="620">Q624</f>
        <v>Yuma Skipsey</v>
      </c>
      <c r="U626">
        <f t="shared" si="620"/>
        <v>21.509999999999998</v>
      </c>
    </row>
    <row r="627" spans="17:21" x14ac:dyDescent="0.25">
      <c r="Q627" s="3" t="s">
        <v>199</v>
      </c>
      <c r="R627" s="1">
        <v>21.509999999999998</v>
      </c>
      <c r="T627" t="str">
        <f t="shared" ref="T627:U627" si="621">Q625</f>
        <v>Ingamar Eberlein</v>
      </c>
      <c r="U627">
        <f t="shared" si="621"/>
        <v>21.509999999999998</v>
      </c>
    </row>
    <row r="628" spans="17:21" x14ac:dyDescent="0.25">
      <c r="Q628" s="3" t="s">
        <v>244</v>
      </c>
      <c r="R628" s="1">
        <v>21.509999999999998</v>
      </c>
      <c r="T628" t="str">
        <f t="shared" ref="T628:U628" si="622">Q626</f>
        <v>Maggy Harby</v>
      </c>
      <c r="U628">
        <f t="shared" si="622"/>
        <v>21.509999999999998</v>
      </c>
    </row>
    <row r="629" spans="17:21" x14ac:dyDescent="0.25">
      <c r="Q629" s="3" t="s">
        <v>732</v>
      </c>
      <c r="R629" s="1">
        <v>21.479999999999997</v>
      </c>
      <c r="T629" t="str">
        <f t="shared" ref="T629:U629" si="623">Q627</f>
        <v>Cleve Blowfelde</v>
      </c>
      <c r="U629">
        <f t="shared" si="623"/>
        <v>21.509999999999998</v>
      </c>
    </row>
    <row r="630" spans="17:21" x14ac:dyDescent="0.25">
      <c r="Q630" s="3" t="s">
        <v>556</v>
      </c>
      <c r="R630" s="1">
        <v>21.479999999999997</v>
      </c>
      <c r="T630" t="str">
        <f t="shared" ref="T630:U630" si="624">Q628</f>
        <v>Delmar Beasant</v>
      </c>
      <c r="U630">
        <f t="shared" si="624"/>
        <v>21.509999999999998</v>
      </c>
    </row>
    <row r="631" spans="17:21" x14ac:dyDescent="0.25">
      <c r="Q631" s="3" t="s">
        <v>700</v>
      </c>
      <c r="R631" s="1">
        <v>20.625</v>
      </c>
      <c r="T631" t="str">
        <f t="shared" ref="T631:U631" si="625">Q629</f>
        <v>Rea Offell</v>
      </c>
      <c r="U631">
        <f t="shared" si="625"/>
        <v>21.479999999999997</v>
      </c>
    </row>
    <row r="632" spans="17:21" x14ac:dyDescent="0.25">
      <c r="Q632" s="3" t="s">
        <v>423</v>
      </c>
      <c r="R632" s="1">
        <v>20.625</v>
      </c>
      <c r="T632" t="str">
        <f t="shared" ref="T632:U632" si="626">Q630</f>
        <v>Lisa Goodger</v>
      </c>
      <c r="U632">
        <f t="shared" si="626"/>
        <v>21.479999999999997</v>
      </c>
    </row>
    <row r="633" spans="17:21" x14ac:dyDescent="0.25">
      <c r="Q633" s="3" t="s">
        <v>114</v>
      </c>
      <c r="R633" s="1">
        <v>20.625</v>
      </c>
      <c r="T633" t="str">
        <f t="shared" ref="T633:U633" si="627">Q631</f>
        <v>Patsy Vasilenko</v>
      </c>
      <c r="U633">
        <f t="shared" si="627"/>
        <v>20.625</v>
      </c>
    </row>
    <row r="634" spans="17:21" x14ac:dyDescent="0.25">
      <c r="Q634" s="3" t="s">
        <v>303</v>
      </c>
      <c r="R634" s="1">
        <v>20.584999999999997</v>
      </c>
      <c r="T634" t="str">
        <f t="shared" ref="T634:U634" si="628">Q632</f>
        <v>Ibby Charters</v>
      </c>
      <c r="U634">
        <f t="shared" si="628"/>
        <v>20.625</v>
      </c>
    </row>
    <row r="635" spans="17:21" x14ac:dyDescent="0.25">
      <c r="Q635" s="3" t="s">
        <v>258</v>
      </c>
      <c r="R635" s="1">
        <v>20.584999999999997</v>
      </c>
      <c r="T635" t="str">
        <f t="shared" ref="T635:U635" si="629">Q633</f>
        <v>Beryle Kenwell</v>
      </c>
      <c r="U635">
        <f t="shared" si="629"/>
        <v>20.625</v>
      </c>
    </row>
    <row r="636" spans="17:21" x14ac:dyDescent="0.25">
      <c r="Q636" s="3" t="s">
        <v>645</v>
      </c>
      <c r="R636" s="1">
        <v>20.25</v>
      </c>
      <c r="T636" t="str">
        <f t="shared" ref="T636:U636" si="630">Q634</f>
        <v>Emiline Galgey</v>
      </c>
      <c r="U636">
        <f t="shared" si="630"/>
        <v>20.584999999999997</v>
      </c>
    </row>
    <row r="637" spans="17:21" x14ac:dyDescent="0.25">
      <c r="Q637" s="3" t="s">
        <v>627</v>
      </c>
      <c r="R637" s="1">
        <v>20.25</v>
      </c>
      <c r="T637" t="str">
        <f t="shared" ref="T637:U637" si="631">Q635</f>
        <v>Dick Drinkall</v>
      </c>
      <c r="U637">
        <f t="shared" si="631"/>
        <v>20.584999999999997</v>
      </c>
    </row>
    <row r="638" spans="17:21" x14ac:dyDescent="0.25">
      <c r="Q638" s="3" t="s">
        <v>486</v>
      </c>
      <c r="R638" s="1">
        <v>20.25</v>
      </c>
      <c r="T638" t="str">
        <f t="shared" ref="T638:U638" si="632">Q636</f>
        <v>Myrle Dearden</v>
      </c>
      <c r="U638">
        <f t="shared" si="632"/>
        <v>20.25</v>
      </c>
    </row>
    <row r="639" spans="17:21" x14ac:dyDescent="0.25">
      <c r="Q639" s="3" t="s">
        <v>554</v>
      </c>
      <c r="R639" s="1">
        <v>20.25</v>
      </c>
      <c r="T639" t="str">
        <f t="shared" ref="T639:U639" si="633">Q637</f>
        <v>Minni Alabaster</v>
      </c>
      <c r="U639">
        <f t="shared" si="633"/>
        <v>20.25</v>
      </c>
    </row>
    <row r="640" spans="17:21" x14ac:dyDescent="0.25">
      <c r="Q640" s="3" t="s">
        <v>351</v>
      </c>
      <c r="R640" s="1">
        <v>20.25</v>
      </c>
      <c r="T640" t="str">
        <f t="shared" ref="T640:U640" si="634">Q638</f>
        <v>Jule Deehan</v>
      </c>
      <c r="U640">
        <f t="shared" si="634"/>
        <v>20.25</v>
      </c>
    </row>
    <row r="641" spans="17:21" x14ac:dyDescent="0.25">
      <c r="Q641" s="3" t="s">
        <v>81</v>
      </c>
      <c r="R641" s="1">
        <v>20.25</v>
      </c>
      <c r="T641" t="str">
        <f t="shared" ref="T641:U641" si="635">Q639</f>
        <v>Linn Alaway</v>
      </c>
      <c r="U641">
        <f t="shared" si="635"/>
        <v>20.25</v>
      </c>
    </row>
    <row r="642" spans="17:21" x14ac:dyDescent="0.25">
      <c r="Q642" s="3" t="s">
        <v>64</v>
      </c>
      <c r="R642" s="1">
        <v>20.25</v>
      </c>
      <c r="T642" t="str">
        <f t="shared" ref="T642:U642" si="636">Q640</f>
        <v>Gaile Goggin</v>
      </c>
      <c r="U642">
        <f t="shared" si="636"/>
        <v>20.25</v>
      </c>
    </row>
    <row r="643" spans="17:21" x14ac:dyDescent="0.25">
      <c r="Q643" s="3" t="s">
        <v>573</v>
      </c>
      <c r="R643" s="1">
        <v>19.899999999999999</v>
      </c>
      <c r="T643" t="str">
        <f t="shared" ref="T643:U643" si="637">Q641</f>
        <v>Audra Kelston</v>
      </c>
      <c r="U643">
        <f t="shared" si="637"/>
        <v>20.25</v>
      </c>
    </row>
    <row r="644" spans="17:21" x14ac:dyDescent="0.25">
      <c r="Q644" s="3" t="s">
        <v>276</v>
      </c>
      <c r="R644" s="1">
        <v>19.899999999999999</v>
      </c>
      <c r="T644" t="str">
        <f t="shared" ref="T644:U644" si="638">Q642</f>
        <v>Annie Campsall</v>
      </c>
      <c r="U644">
        <f t="shared" si="638"/>
        <v>20.25</v>
      </c>
    </row>
    <row r="645" spans="17:21" x14ac:dyDescent="0.25">
      <c r="Q645" s="3" t="s">
        <v>159</v>
      </c>
      <c r="R645" s="1">
        <v>19.899999999999999</v>
      </c>
      <c r="T645" t="str">
        <f t="shared" ref="T645:U645" si="639">Q643</f>
        <v>Lynnea Danton</v>
      </c>
      <c r="U645">
        <f t="shared" si="639"/>
        <v>19.899999999999999</v>
      </c>
    </row>
    <row r="646" spans="17:21" x14ac:dyDescent="0.25">
      <c r="Q646" s="3" t="s">
        <v>39</v>
      </c>
      <c r="R646" s="1">
        <v>19.424999999999997</v>
      </c>
      <c r="T646" t="str">
        <f t="shared" ref="T646:U646" si="640">Q644</f>
        <v>Dorette Hinemoor</v>
      </c>
      <c r="U646">
        <f t="shared" si="640"/>
        <v>19.899999999999999</v>
      </c>
    </row>
    <row r="647" spans="17:21" x14ac:dyDescent="0.25">
      <c r="Q647" s="3" t="s">
        <v>880</v>
      </c>
      <c r="R647" s="1">
        <v>19.02</v>
      </c>
      <c r="T647" t="str">
        <f t="shared" ref="T647:U647" si="641">Q645</f>
        <v>Catarina Donn</v>
      </c>
      <c r="U647">
        <f t="shared" si="641"/>
        <v>19.899999999999999</v>
      </c>
    </row>
    <row r="648" spans="17:21" x14ac:dyDescent="0.25">
      <c r="Q648" s="3" t="s">
        <v>359</v>
      </c>
      <c r="R648" s="1">
        <v>19.02</v>
      </c>
      <c r="T648" t="str">
        <f t="shared" ref="T648:U648" si="642">Q646</f>
        <v>Alisun Baudino</v>
      </c>
      <c r="U648">
        <f t="shared" si="642"/>
        <v>19.424999999999997</v>
      </c>
    </row>
    <row r="649" spans="17:21" x14ac:dyDescent="0.25">
      <c r="Q649" s="3" t="s">
        <v>92</v>
      </c>
      <c r="R649" s="1">
        <v>19.02</v>
      </c>
      <c r="T649" t="str">
        <f t="shared" ref="T649:U649" si="643">Q647</f>
        <v>Vinny Shoebotham</v>
      </c>
      <c r="U649">
        <f t="shared" si="643"/>
        <v>19.02</v>
      </c>
    </row>
    <row r="650" spans="17:21" x14ac:dyDescent="0.25">
      <c r="Q650" s="3" t="s">
        <v>191</v>
      </c>
      <c r="R650" s="1">
        <v>19.02</v>
      </c>
      <c r="T650" t="str">
        <f t="shared" ref="T650:U650" si="644">Q648</f>
        <v>Geneva Standley</v>
      </c>
      <c r="U650">
        <f t="shared" si="644"/>
        <v>19.02</v>
      </c>
    </row>
    <row r="651" spans="17:21" x14ac:dyDescent="0.25">
      <c r="Q651" s="3" t="s">
        <v>631</v>
      </c>
      <c r="R651" s="1">
        <v>18.689999999999998</v>
      </c>
      <c r="T651" t="str">
        <f t="shared" ref="T651:U651" si="645">Q649</f>
        <v>Barrett Gudde</v>
      </c>
      <c r="U651">
        <f t="shared" si="645"/>
        <v>19.02</v>
      </c>
    </row>
    <row r="652" spans="17:21" x14ac:dyDescent="0.25">
      <c r="Q652" s="3" t="s">
        <v>364</v>
      </c>
      <c r="R652" s="1">
        <v>18.225000000000001</v>
      </c>
      <c r="T652" t="str">
        <f t="shared" ref="T652:U652" si="646">Q650</f>
        <v>Claiborne Mottram</v>
      </c>
      <c r="U652">
        <f t="shared" si="646"/>
        <v>19.02</v>
      </c>
    </row>
    <row r="653" spans="17:21" x14ac:dyDescent="0.25">
      <c r="Q653" s="3" t="s">
        <v>270</v>
      </c>
      <c r="R653" s="1">
        <v>18.225000000000001</v>
      </c>
      <c r="T653" t="str">
        <f t="shared" ref="T653:U653" si="647">Q651</f>
        <v>Modesty MacConnechie</v>
      </c>
      <c r="U653">
        <f t="shared" si="647"/>
        <v>18.689999999999998</v>
      </c>
    </row>
    <row r="654" spans="17:21" x14ac:dyDescent="0.25">
      <c r="Q654" s="3" t="s">
        <v>568</v>
      </c>
      <c r="R654" s="1">
        <v>17.924999999999997</v>
      </c>
      <c r="T654" t="str">
        <f t="shared" ref="T654:U654" si="648">Q652</f>
        <v>Giacobo Skingle</v>
      </c>
      <c r="U654">
        <f t="shared" si="648"/>
        <v>18.225000000000001</v>
      </c>
    </row>
    <row r="655" spans="17:21" x14ac:dyDescent="0.25">
      <c r="Q655" s="3" t="s">
        <v>104</v>
      </c>
      <c r="R655" s="1">
        <v>17.924999999999997</v>
      </c>
      <c r="T655" t="str">
        <f t="shared" ref="T655:U655" si="649">Q653</f>
        <v>Donica Bonhome</v>
      </c>
      <c r="U655">
        <f t="shared" si="649"/>
        <v>18.225000000000001</v>
      </c>
    </row>
    <row r="656" spans="17:21" x14ac:dyDescent="0.25">
      <c r="Q656" s="3" t="s">
        <v>722</v>
      </c>
      <c r="R656" s="1">
        <v>17.91</v>
      </c>
      <c r="T656" t="str">
        <f t="shared" ref="T656:U656" si="650">Q654</f>
        <v>Lukas Whittlesee</v>
      </c>
      <c r="U656">
        <f t="shared" si="650"/>
        <v>17.924999999999997</v>
      </c>
    </row>
    <row r="657" spans="17:21" x14ac:dyDescent="0.25">
      <c r="Q657" s="3" t="s">
        <v>718</v>
      </c>
      <c r="R657" s="1">
        <v>17.91</v>
      </c>
      <c r="T657" t="str">
        <f t="shared" ref="T657:U657" si="651">Q655</f>
        <v>Beltran Mathon</v>
      </c>
      <c r="U657">
        <f t="shared" si="651"/>
        <v>17.924999999999997</v>
      </c>
    </row>
    <row r="658" spans="17:21" x14ac:dyDescent="0.25">
      <c r="Q658" s="3" t="s">
        <v>852</v>
      </c>
      <c r="R658" s="1">
        <v>17.91</v>
      </c>
      <c r="T658" t="str">
        <f t="shared" ref="T658:U658" si="652">Q656</f>
        <v>Rafaela Treacher</v>
      </c>
      <c r="U658">
        <f t="shared" si="652"/>
        <v>17.91</v>
      </c>
    </row>
    <row r="659" spans="17:21" x14ac:dyDescent="0.25">
      <c r="Q659" s="3" t="s">
        <v>656</v>
      </c>
      <c r="R659" s="1">
        <v>17.91</v>
      </c>
      <c r="T659" t="str">
        <f t="shared" ref="T659:U659" si="653">Q657</f>
        <v>Quinn Parsons</v>
      </c>
      <c r="U659">
        <f t="shared" si="653"/>
        <v>17.91</v>
      </c>
    </row>
    <row r="660" spans="17:21" x14ac:dyDescent="0.25">
      <c r="Q660" s="3" t="s">
        <v>846</v>
      </c>
      <c r="R660" s="1">
        <v>17.91</v>
      </c>
      <c r="T660" t="str">
        <f t="shared" ref="T660:U660" si="654">Q658</f>
        <v>Theresita Newbury</v>
      </c>
      <c r="U660">
        <f t="shared" si="654"/>
        <v>17.91</v>
      </c>
    </row>
    <row r="661" spans="17:21" x14ac:dyDescent="0.25">
      <c r="Q661" s="3" t="s">
        <v>712</v>
      </c>
      <c r="R661" s="1">
        <v>17.91</v>
      </c>
      <c r="T661" t="str">
        <f t="shared" ref="T661:U661" si="655">Q659</f>
        <v>Nathaniel Bloxland</v>
      </c>
      <c r="U661">
        <f t="shared" si="655"/>
        <v>17.91</v>
      </c>
    </row>
    <row r="662" spans="17:21" x14ac:dyDescent="0.25">
      <c r="Q662" s="3" t="s">
        <v>775</v>
      </c>
      <c r="R662" s="1">
        <v>17.91</v>
      </c>
      <c r="T662" t="str">
        <f t="shared" ref="T662:U662" si="656">Q660</f>
        <v>Tersina Castagne</v>
      </c>
      <c r="U662">
        <f t="shared" si="656"/>
        <v>17.91</v>
      </c>
    </row>
    <row r="663" spans="17:21" x14ac:dyDescent="0.25">
      <c r="Q663" s="3" t="s">
        <v>783</v>
      </c>
      <c r="R663" s="1">
        <v>17.91</v>
      </c>
      <c r="T663" t="str">
        <f t="shared" ref="T663:U663" si="657">Q661</f>
        <v>Phyllys Ormerod</v>
      </c>
      <c r="U663">
        <f t="shared" si="657"/>
        <v>17.91</v>
      </c>
    </row>
    <row r="664" spans="17:21" x14ac:dyDescent="0.25">
      <c r="Q664" s="3" t="s">
        <v>704</v>
      </c>
      <c r="R664" s="1">
        <v>17.91</v>
      </c>
      <c r="T664" t="str">
        <f t="shared" ref="T664:U664" si="658">Q662</f>
        <v>Samuele Klaaassen</v>
      </c>
      <c r="U664">
        <f t="shared" si="658"/>
        <v>17.91</v>
      </c>
    </row>
    <row r="665" spans="17:21" x14ac:dyDescent="0.25">
      <c r="Q665" s="3" t="s">
        <v>765</v>
      </c>
      <c r="R665" s="1">
        <v>17.91</v>
      </c>
      <c r="T665" t="str">
        <f t="shared" ref="T665:U665" si="659">Q663</f>
        <v>Selia Ragles</v>
      </c>
      <c r="U665">
        <f t="shared" si="659"/>
        <v>17.91</v>
      </c>
    </row>
    <row r="666" spans="17:21" x14ac:dyDescent="0.25">
      <c r="Q666" s="3" t="s">
        <v>376</v>
      </c>
      <c r="R666" s="1">
        <v>17.91</v>
      </c>
      <c r="T666" t="str">
        <f t="shared" ref="T666:U666" si="660">Q664</f>
        <v>Pen Wye</v>
      </c>
      <c r="U666">
        <f t="shared" si="660"/>
        <v>17.91</v>
      </c>
    </row>
    <row r="667" spans="17:21" x14ac:dyDescent="0.25">
      <c r="Q667" s="3" t="s">
        <v>439</v>
      </c>
      <c r="R667" s="1">
        <v>17.91</v>
      </c>
      <c r="T667" t="str">
        <f t="shared" ref="T667:U667" si="661">Q665</f>
        <v>Rudy Farquharson</v>
      </c>
      <c r="U667">
        <f t="shared" si="661"/>
        <v>17.91</v>
      </c>
    </row>
    <row r="668" spans="17:21" x14ac:dyDescent="0.25">
      <c r="Q668" s="3" t="s">
        <v>389</v>
      </c>
      <c r="R668" s="1">
        <v>17.91</v>
      </c>
      <c r="T668" t="str">
        <f t="shared" ref="T668:U668" si="662">Q666</f>
        <v>Gran Sibray</v>
      </c>
      <c r="U668">
        <f t="shared" si="662"/>
        <v>17.91</v>
      </c>
    </row>
    <row r="669" spans="17:21" x14ac:dyDescent="0.25">
      <c r="Q669" s="3" t="s">
        <v>544</v>
      </c>
      <c r="R669" s="1">
        <v>17.91</v>
      </c>
      <c r="T669" t="str">
        <f t="shared" ref="T669:U669" si="663">Q667</f>
        <v>Isidore Hussey</v>
      </c>
      <c r="U669">
        <f t="shared" si="663"/>
        <v>17.91</v>
      </c>
    </row>
    <row r="670" spans="17:21" x14ac:dyDescent="0.25">
      <c r="Q670" s="3" t="s">
        <v>87</v>
      </c>
      <c r="R670" s="1">
        <v>17.91</v>
      </c>
      <c r="T670" t="str">
        <f t="shared" ref="T670:U670" si="664">Q668</f>
        <v>Guthrey Petracci</v>
      </c>
      <c r="U670">
        <f t="shared" si="664"/>
        <v>17.91</v>
      </c>
    </row>
    <row r="671" spans="17:21" x14ac:dyDescent="0.25">
      <c r="Q671" s="3" t="s">
        <v>77</v>
      </c>
      <c r="R671" s="1">
        <v>17.91</v>
      </c>
      <c r="T671" t="str">
        <f t="shared" ref="T671:U671" si="665">Q669</f>
        <v>Lenore Messenbird</v>
      </c>
      <c r="U671">
        <f t="shared" si="665"/>
        <v>17.91</v>
      </c>
    </row>
    <row r="672" spans="17:21" x14ac:dyDescent="0.25">
      <c r="Q672" s="3" t="s">
        <v>280</v>
      </c>
      <c r="R672" s="1">
        <v>17.91</v>
      </c>
      <c r="T672" t="str">
        <f t="shared" ref="T672:U672" si="666">Q670</f>
        <v>Avrit Davidowsky</v>
      </c>
      <c r="U672">
        <f t="shared" si="666"/>
        <v>17.91</v>
      </c>
    </row>
    <row r="673" spans="17:21" x14ac:dyDescent="0.25">
      <c r="Q673" s="3" t="s">
        <v>19</v>
      </c>
      <c r="R673" s="1">
        <v>17.91</v>
      </c>
      <c r="T673" t="str">
        <f t="shared" ref="T673:U673" si="667">Q671</f>
        <v>Arleen Braidman</v>
      </c>
      <c r="U673">
        <f t="shared" si="667"/>
        <v>17.91</v>
      </c>
    </row>
    <row r="674" spans="17:21" x14ac:dyDescent="0.25">
      <c r="Q674" s="3" t="s">
        <v>33</v>
      </c>
      <c r="R674" s="1">
        <v>17.91</v>
      </c>
      <c r="T674" t="str">
        <f t="shared" ref="T674:U674" si="668">Q672</f>
        <v>Dorotea Hollyman</v>
      </c>
      <c r="U674">
        <f t="shared" si="668"/>
        <v>17.91</v>
      </c>
    </row>
    <row r="675" spans="17:21" x14ac:dyDescent="0.25">
      <c r="Q675" s="3" t="s">
        <v>213</v>
      </c>
      <c r="R675" s="1">
        <v>17.91</v>
      </c>
      <c r="T675" t="str">
        <f t="shared" ref="T675:U675" si="669">Q673</f>
        <v>Adelice Isabell</v>
      </c>
      <c r="U675">
        <f t="shared" si="669"/>
        <v>17.91</v>
      </c>
    </row>
    <row r="676" spans="17:21" x14ac:dyDescent="0.25">
      <c r="Q676" s="3" t="s">
        <v>329</v>
      </c>
      <c r="R676" s="1">
        <v>17.899999999999999</v>
      </c>
      <c r="T676" t="str">
        <f t="shared" ref="T676:U676" si="670">Q674</f>
        <v>Alexina Randals</v>
      </c>
      <c r="U676">
        <f t="shared" si="670"/>
        <v>17.91</v>
      </c>
    </row>
    <row r="677" spans="17:21" x14ac:dyDescent="0.25">
      <c r="Q677" s="3" t="s">
        <v>44</v>
      </c>
      <c r="R677" s="1">
        <v>17.899999999999999</v>
      </c>
      <c r="T677" t="str">
        <f t="shared" ref="T677:U677" si="671">Q675</f>
        <v>Corney Curme</v>
      </c>
      <c r="U677">
        <f t="shared" si="671"/>
        <v>17.91</v>
      </c>
    </row>
    <row r="678" spans="17:21" x14ac:dyDescent="0.25">
      <c r="Q678" s="3" t="s">
        <v>744</v>
      </c>
      <c r="R678" s="1">
        <v>17.82</v>
      </c>
      <c r="T678" t="str">
        <f t="shared" ref="T678:U678" si="672">Q676</f>
        <v>Felita Dauney</v>
      </c>
      <c r="U678">
        <f t="shared" si="672"/>
        <v>17.899999999999999</v>
      </c>
    </row>
    <row r="679" spans="17:21" x14ac:dyDescent="0.25">
      <c r="Q679" s="3" t="s">
        <v>794</v>
      </c>
      <c r="R679" s="1">
        <v>17.82</v>
      </c>
      <c r="T679" t="str">
        <f t="shared" ref="T679:U679" si="673">Q677</f>
        <v>Alric Darth</v>
      </c>
      <c r="U679">
        <f t="shared" si="673"/>
        <v>17.899999999999999</v>
      </c>
    </row>
    <row r="680" spans="17:21" x14ac:dyDescent="0.25">
      <c r="Q680" s="3" t="s">
        <v>379</v>
      </c>
      <c r="R680" s="1">
        <v>17.82</v>
      </c>
      <c r="T680" t="str">
        <f t="shared" ref="T680:U680" si="674">Q678</f>
        <v>Rhetta Elnaugh</v>
      </c>
      <c r="U680">
        <f t="shared" si="674"/>
        <v>17.82</v>
      </c>
    </row>
    <row r="681" spans="17:21" x14ac:dyDescent="0.25">
      <c r="Q681" s="3" t="s">
        <v>465</v>
      </c>
      <c r="R681" s="1">
        <v>17.82</v>
      </c>
      <c r="T681" t="str">
        <f t="shared" ref="T681:U681" si="675">Q679</f>
        <v>Shelley Gehring</v>
      </c>
      <c r="U681">
        <f t="shared" si="675"/>
        <v>17.82</v>
      </c>
    </row>
    <row r="682" spans="17:21" x14ac:dyDescent="0.25">
      <c r="Q682" s="3" t="s">
        <v>569</v>
      </c>
      <c r="R682" s="1">
        <v>17.82</v>
      </c>
      <c r="T682" t="str">
        <f t="shared" ref="T682:U682" si="676">Q680</f>
        <v>Granville Alberts</v>
      </c>
      <c r="U682">
        <f t="shared" si="676"/>
        <v>17.82</v>
      </c>
    </row>
    <row r="683" spans="17:21" x14ac:dyDescent="0.25">
      <c r="Q683" s="3" t="s">
        <v>692</v>
      </c>
      <c r="R683" s="1">
        <v>17.46</v>
      </c>
      <c r="T683" t="str">
        <f t="shared" ref="T683:U683" si="677">Q681</f>
        <v>Jennifer Rangall</v>
      </c>
      <c r="U683">
        <f t="shared" si="677"/>
        <v>17.82</v>
      </c>
    </row>
    <row r="684" spans="17:21" x14ac:dyDescent="0.25">
      <c r="Q684" s="3" t="s">
        <v>602</v>
      </c>
      <c r="R684" s="1">
        <v>17.46</v>
      </c>
      <c r="T684" t="str">
        <f t="shared" ref="T684:U684" si="678">Q682</f>
        <v>Lyell Murch</v>
      </c>
      <c r="U684">
        <f t="shared" si="678"/>
        <v>17.82</v>
      </c>
    </row>
    <row r="685" spans="17:21" x14ac:dyDescent="0.25">
      <c r="Q685" s="3" t="s">
        <v>240</v>
      </c>
      <c r="R685" s="1">
        <v>17.46</v>
      </c>
      <c r="T685" t="str">
        <f t="shared" ref="T685:U685" si="679">Q683</f>
        <v>Osmund Clausen-Thue</v>
      </c>
      <c r="U685">
        <f t="shared" si="679"/>
        <v>17.46</v>
      </c>
    </row>
    <row r="686" spans="17:21" x14ac:dyDescent="0.25">
      <c r="Q686" s="3" t="s">
        <v>109</v>
      </c>
      <c r="R686" s="1">
        <v>17.46</v>
      </c>
      <c r="T686" t="str">
        <f t="shared" ref="T686:U686" si="680">Q684</f>
        <v>Marty Scholl</v>
      </c>
      <c r="U686">
        <f t="shared" si="680"/>
        <v>17.46</v>
      </c>
    </row>
    <row r="687" spans="17:21" x14ac:dyDescent="0.25">
      <c r="Q687" s="3" t="s">
        <v>884</v>
      </c>
      <c r="R687" s="1">
        <v>16.875</v>
      </c>
      <c r="T687" t="str">
        <f t="shared" ref="T687:U687" si="681">Q685</f>
        <v>Deana Staite</v>
      </c>
      <c r="U687">
        <f t="shared" si="681"/>
        <v>17.46</v>
      </c>
    </row>
    <row r="688" spans="17:21" x14ac:dyDescent="0.25">
      <c r="Q688" s="3" t="s">
        <v>215</v>
      </c>
      <c r="R688" s="1">
        <v>16.875</v>
      </c>
      <c r="T688" t="str">
        <f t="shared" ref="T688:U688" si="682">Q686</f>
        <v>Berkly Imrie</v>
      </c>
      <c r="U688">
        <f t="shared" si="682"/>
        <v>17.46</v>
      </c>
    </row>
    <row r="689" spans="17:21" x14ac:dyDescent="0.25">
      <c r="Q689" s="3" t="s">
        <v>806</v>
      </c>
      <c r="R689" s="1">
        <v>16.5</v>
      </c>
      <c r="T689" t="str">
        <f t="shared" ref="T689:U689" si="683">Q687</f>
        <v>Vivie Danneil</v>
      </c>
      <c r="U689">
        <f t="shared" si="683"/>
        <v>16.875</v>
      </c>
    </row>
    <row r="690" spans="17:21" x14ac:dyDescent="0.25">
      <c r="Q690" s="3" t="s">
        <v>684</v>
      </c>
      <c r="R690" s="1">
        <v>16.5</v>
      </c>
      <c r="T690" t="str">
        <f t="shared" ref="T690:U690" si="684">Q688</f>
        <v>Correy Bourner</v>
      </c>
      <c r="U690">
        <f t="shared" si="684"/>
        <v>16.875</v>
      </c>
    </row>
    <row r="691" spans="17:21" x14ac:dyDescent="0.25">
      <c r="Q691" s="3" t="s">
        <v>881</v>
      </c>
      <c r="R691" s="1">
        <v>16.5</v>
      </c>
      <c r="T691" t="str">
        <f t="shared" ref="T691:U691" si="685">Q689</f>
        <v>Silas Deehan</v>
      </c>
      <c r="U691">
        <f t="shared" si="685"/>
        <v>16.5</v>
      </c>
    </row>
    <row r="692" spans="17:21" x14ac:dyDescent="0.25">
      <c r="Q692" s="3" t="s">
        <v>904</v>
      </c>
      <c r="R692" s="1">
        <v>16.5</v>
      </c>
      <c r="T692" t="str">
        <f t="shared" ref="T692:U692" si="686">Q690</f>
        <v>Olag Baudassi</v>
      </c>
      <c r="U692">
        <f t="shared" si="686"/>
        <v>16.5</v>
      </c>
    </row>
    <row r="693" spans="17:21" x14ac:dyDescent="0.25">
      <c r="Q693" s="3" t="s">
        <v>649</v>
      </c>
      <c r="R693" s="1">
        <v>16.5</v>
      </c>
      <c r="T693" t="str">
        <f t="shared" ref="T693:U693" si="687">Q691</f>
        <v>Violante Skouling</v>
      </c>
      <c r="U693">
        <f t="shared" si="687"/>
        <v>16.5</v>
      </c>
    </row>
    <row r="694" spans="17:21" x14ac:dyDescent="0.25">
      <c r="Q694" s="3" t="s">
        <v>675</v>
      </c>
      <c r="R694" s="1">
        <v>16.11</v>
      </c>
      <c r="T694" t="str">
        <f t="shared" ref="T694:U694" si="688">Q692</f>
        <v>Wilton Cottier</v>
      </c>
      <c r="U694">
        <f t="shared" si="688"/>
        <v>16.5</v>
      </c>
    </row>
    <row r="695" spans="17:21" x14ac:dyDescent="0.25">
      <c r="Q695" s="3" t="s">
        <v>363</v>
      </c>
      <c r="R695" s="1">
        <v>16.11</v>
      </c>
      <c r="T695" t="str">
        <f t="shared" ref="T695:U695" si="689">Q693</f>
        <v>Nannie Naseby</v>
      </c>
      <c r="U695">
        <f t="shared" si="689"/>
        <v>16.5</v>
      </c>
    </row>
    <row r="696" spans="17:21" x14ac:dyDescent="0.25">
      <c r="Q696" s="3" t="s">
        <v>587</v>
      </c>
      <c r="R696" s="1">
        <v>16.11</v>
      </c>
      <c r="T696" t="str">
        <f t="shared" ref="T696:U696" si="690">Q694</f>
        <v>Noak Wyvill</v>
      </c>
      <c r="U696">
        <f t="shared" si="690"/>
        <v>16.11</v>
      </c>
    </row>
    <row r="697" spans="17:21" x14ac:dyDescent="0.25">
      <c r="Q697" s="3" t="s">
        <v>287</v>
      </c>
      <c r="R697" s="1">
        <v>16.11</v>
      </c>
      <c r="T697" t="str">
        <f t="shared" ref="T697:U697" si="691">Q695</f>
        <v>Gerardo Schonfeld</v>
      </c>
      <c r="U697">
        <f t="shared" si="691"/>
        <v>16.11</v>
      </c>
    </row>
    <row r="698" spans="17:21" x14ac:dyDescent="0.25">
      <c r="Q698" s="3" t="s">
        <v>71</v>
      </c>
      <c r="R698" s="1">
        <v>16.11</v>
      </c>
      <c r="T698" t="str">
        <f t="shared" ref="T698:U698" si="692">Q696</f>
        <v>Man Fright</v>
      </c>
      <c r="U698">
        <f t="shared" si="692"/>
        <v>16.11</v>
      </c>
    </row>
    <row r="699" spans="17:21" x14ac:dyDescent="0.25">
      <c r="Q699" s="3" t="s">
        <v>428</v>
      </c>
      <c r="R699" s="1">
        <v>15.85</v>
      </c>
      <c r="T699" t="str">
        <f t="shared" ref="T699:U699" si="693">Q697</f>
        <v>Eddi Sedgebeer</v>
      </c>
      <c r="U699">
        <f t="shared" si="693"/>
        <v>16.11</v>
      </c>
    </row>
    <row r="700" spans="17:21" x14ac:dyDescent="0.25">
      <c r="Q700" s="3" t="s">
        <v>766</v>
      </c>
      <c r="R700" s="1">
        <v>15.54</v>
      </c>
      <c r="T700" t="str">
        <f t="shared" ref="T700:U700" si="694">Q698</f>
        <v>Araldo Bilbrook</v>
      </c>
      <c r="U700">
        <f t="shared" si="694"/>
        <v>16.11</v>
      </c>
    </row>
    <row r="701" spans="17:21" x14ac:dyDescent="0.25">
      <c r="Q701" s="3" t="s">
        <v>861</v>
      </c>
      <c r="R701" s="1">
        <v>15.54</v>
      </c>
      <c r="T701" t="str">
        <f t="shared" ref="T701:U701" si="695">Q699</f>
        <v>Ingeberg Mulliner</v>
      </c>
      <c r="U701">
        <f t="shared" si="695"/>
        <v>15.85</v>
      </c>
    </row>
    <row r="702" spans="17:21" x14ac:dyDescent="0.25">
      <c r="Q702" s="3" t="s">
        <v>907</v>
      </c>
      <c r="R702" s="1">
        <v>15.54</v>
      </c>
      <c r="T702" t="str">
        <f t="shared" ref="T702:U702" si="696">Q700</f>
        <v>Rufus Flear</v>
      </c>
      <c r="U702">
        <f t="shared" si="696"/>
        <v>15.54</v>
      </c>
    </row>
    <row r="703" spans="17:21" x14ac:dyDescent="0.25">
      <c r="Q703" s="3" t="s">
        <v>430</v>
      </c>
      <c r="R703" s="1">
        <v>15.54</v>
      </c>
      <c r="T703" t="str">
        <f t="shared" ref="T703:U703" si="697">Q701</f>
        <v>Trescha Jedrachowicz</v>
      </c>
      <c r="U703">
        <f t="shared" si="697"/>
        <v>15.54</v>
      </c>
    </row>
    <row r="704" spans="17:21" x14ac:dyDescent="0.25">
      <c r="Q704" s="3" t="s">
        <v>411</v>
      </c>
      <c r="R704" s="1">
        <v>15.54</v>
      </c>
      <c r="T704" t="str">
        <f t="shared" ref="T704:U704" si="698">Q702</f>
        <v>Winne Roche</v>
      </c>
      <c r="U704">
        <f t="shared" si="698"/>
        <v>15.54</v>
      </c>
    </row>
    <row r="705" spans="17:21" x14ac:dyDescent="0.25">
      <c r="Q705" s="3" t="s">
        <v>548</v>
      </c>
      <c r="R705" s="1">
        <v>15.54</v>
      </c>
      <c r="T705" t="str">
        <f t="shared" ref="T705:U705" si="699">Q703</f>
        <v>Inger Bouldon</v>
      </c>
      <c r="U705">
        <f t="shared" si="699"/>
        <v>15.54</v>
      </c>
    </row>
    <row r="706" spans="17:21" x14ac:dyDescent="0.25">
      <c r="Q706" s="3" t="s">
        <v>407</v>
      </c>
      <c r="R706" s="1">
        <v>15.54</v>
      </c>
      <c r="T706" t="str">
        <f t="shared" ref="T706:U706" si="700">Q704</f>
        <v>Henderson Crowne</v>
      </c>
      <c r="U706">
        <f t="shared" si="700"/>
        <v>15.54</v>
      </c>
    </row>
    <row r="707" spans="17:21" x14ac:dyDescent="0.25">
      <c r="Q707" s="3" t="s">
        <v>367</v>
      </c>
      <c r="R707" s="1">
        <v>15.54</v>
      </c>
      <c r="T707" t="str">
        <f t="shared" ref="T707:U707" si="701">Q705</f>
        <v>Leta Clarricoates</v>
      </c>
      <c r="U707">
        <f t="shared" si="701"/>
        <v>15.54</v>
      </c>
    </row>
    <row r="708" spans="17:21" x14ac:dyDescent="0.25">
      <c r="Q708" s="3" t="s">
        <v>506</v>
      </c>
      <c r="R708" s="1">
        <v>15.54</v>
      </c>
      <c r="T708" t="str">
        <f t="shared" ref="T708:U708" si="702">Q706</f>
        <v>Heda Fromant</v>
      </c>
      <c r="U708">
        <f t="shared" si="702"/>
        <v>15.54</v>
      </c>
    </row>
    <row r="709" spans="17:21" x14ac:dyDescent="0.25">
      <c r="Q709" s="3" t="s">
        <v>133</v>
      </c>
      <c r="R709" s="1">
        <v>15.54</v>
      </c>
      <c r="T709" t="str">
        <f t="shared" ref="T709:U709" si="703">Q707</f>
        <v>Giordano Lorenzin</v>
      </c>
      <c r="U709">
        <f t="shared" si="703"/>
        <v>15.54</v>
      </c>
    </row>
    <row r="710" spans="17:21" x14ac:dyDescent="0.25">
      <c r="Q710" s="3" t="s">
        <v>125</v>
      </c>
      <c r="R710" s="1">
        <v>15.54</v>
      </c>
      <c r="T710" t="str">
        <f t="shared" ref="T710:U710" si="704">Q708</f>
        <v>Kenton Wetherick</v>
      </c>
      <c r="U710">
        <f t="shared" si="704"/>
        <v>15.54</v>
      </c>
    </row>
    <row r="711" spans="17:21" x14ac:dyDescent="0.25">
      <c r="Q711" s="3" t="s">
        <v>97</v>
      </c>
      <c r="R711" s="1">
        <v>15.54</v>
      </c>
      <c r="T711" t="str">
        <f t="shared" ref="T711:U711" si="705">Q709</f>
        <v>Boyd Bett</v>
      </c>
      <c r="U711">
        <f t="shared" si="705"/>
        <v>15.54</v>
      </c>
    </row>
    <row r="712" spans="17:21" x14ac:dyDescent="0.25">
      <c r="Q712" s="3" t="s">
        <v>715</v>
      </c>
      <c r="R712" s="1">
        <v>14.924999999999999</v>
      </c>
      <c r="T712" t="str">
        <f t="shared" ref="T712:U712" si="706">Q710</f>
        <v>Bob Giannazzi</v>
      </c>
      <c r="U712">
        <f t="shared" si="706"/>
        <v>15.54</v>
      </c>
    </row>
    <row r="713" spans="17:21" x14ac:dyDescent="0.25">
      <c r="Q713" s="3" t="s">
        <v>453</v>
      </c>
      <c r="R713" s="1">
        <v>14.924999999999999</v>
      </c>
      <c r="T713" t="str">
        <f t="shared" ref="T713:U713" si="707">Q711</f>
        <v>Bayard Wellan</v>
      </c>
      <c r="U713">
        <f t="shared" si="707"/>
        <v>15.54</v>
      </c>
    </row>
    <row r="714" spans="17:21" x14ac:dyDescent="0.25">
      <c r="Q714" s="3" t="s">
        <v>101</v>
      </c>
      <c r="R714" s="1">
        <v>14.924999999999999</v>
      </c>
      <c r="T714" t="str">
        <f t="shared" ref="T714:U714" si="708">Q712</f>
        <v>Pren Bess</v>
      </c>
      <c r="U714">
        <f t="shared" si="708"/>
        <v>14.924999999999999</v>
      </c>
    </row>
    <row r="715" spans="17:21" x14ac:dyDescent="0.25">
      <c r="Q715" s="3" t="s">
        <v>696</v>
      </c>
      <c r="R715" s="1">
        <v>14.85</v>
      </c>
      <c r="T715" t="str">
        <f t="shared" ref="T715:U715" si="709">Q713</f>
        <v>Janifer Bagot</v>
      </c>
      <c r="U715">
        <f t="shared" si="709"/>
        <v>14.924999999999999</v>
      </c>
    </row>
    <row r="716" spans="17:21" x14ac:dyDescent="0.25">
      <c r="Q716" s="3" t="s">
        <v>231</v>
      </c>
      <c r="R716" s="1">
        <v>14.85</v>
      </c>
      <c r="T716" t="str">
        <f t="shared" ref="T716:U716" si="710">Q714</f>
        <v>Becky Semkins</v>
      </c>
      <c r="U716">
        <f t="shared" si="710"/>
        <v>14.924999999999999</v>
      </c>
    </row>
    <row r="717" spans="17:21" x14ac:dyDescent="0.25">
      <c r="Q717" s="3" t="s">
        <v>819</v>
      </c>
      <c r="R717" s="1">
        <v>14.58</v>
      </c>
      <c r="T717" t="str">
        <f t="shared" ref="T717:U717" si="711">Q715</f>
        <v>Paola Brydell</v>
      </c>
      <c r="U717">
        <f t="shared" si="711"/>
        <v>14.85</v>
      </c>
    </row>
    <row r="718" spans="17:21" x14ac:dyDescent="0.25">
      <c r="Q718" s="3" t="s">
        <v>481</v>
      </c>
      <c r="R718" s="1">
        <v>14.58</v>
      </c>
      <c r="T718" t="str">
        <f t="shared" ref="T718:U718" si="712">Q716</f>
        <v>Darby Dummer</v>
      </c>
      <c r="U718">
        <f t="shared" si="712"/>
        <v>14.85</v>
      </c>
    </row>
    <row r="719" spans="17:21" x14ac:dyDescent="0.25">
      <c r="Q719" s="3" t="s">
        <v>330</v>
      </c>
      <c r="R719" s="1">
        <v>14.58</v>
      </c>
      <c r="T719" t="str">
        <f t="shared" ref="T719:U719" si="713">Q717</f>
        <v>Sloan Diviny</v>
      </c>
      <c r="U719">
        <f t="shared" si="713"/>
        <v>14.58</v>
      </c>
    </row>
    <row r="720" spans="17:21" x14ac:dyDescent="0.25">
      <c r="Q720" s="3" t="s">
        <v>130</v>
      </c>
      <c r="R720" s="1">
        <v>14.58</v>
      </c>
      <c r="T720" t="str">
        <f t="shared" ref="T720:U720" si="714">Q718</f>
        <v>Jordana Halden</v>
      </c>
      <c r="U720">
        <f t="shared" si="714"/>
        <v>14.58</v>
      </c>
    </row>
    <row r="721" spans="17:21" x14ac:dyDescent="0.25">
      <c r="Q721" s="3" t="s">
        <v>43</v>
      </c>
      <c r="R721" s="1">
        <v>14.58</v>
      </c>
      <c r="T721" t="str">
        <f t="shared" ref="T721:U721" si="715">Q719</f>
        <v>Felita Eshmade</v>
      </c>
      <c r="U721">
        <f t="shared" si="715"/>
        <v>14.58</v>
      </c>
    </row>
    <row r="722" spans="17:21" x14ac:dyDescent="0.25">
      <c r="Q722" s="3" t="s">
        <v>226</v>
      </c>
      <c r="R722" s="1">
        <v>14.58</v>
      </c>
      <c r="T722" t="str">
        <f t="shared" ref="T722:U722" si="716">Q720</f>
        <v>Bobinette Hindsberg</v>
      </c>
      <c r="U722">
        <f t="shared" si="716"/>
        <v>14.58</v>
      </c>
    </row>
    <row r="723" spans="17:21" x14ac:dyDescent="0.25">
      <c r="Q723" s="3" t="s">
        <v>618</v>
      </c>
      <c r="R723" s="1">
        <v>14.55</v>
      </c>
      <c r="T723" t="str">
        <f t="shared" ref="T723:U723" si="717">Q721</f>
        <v>Alon Pllu</v>
      </c>
      <c r="U723">
        <f t="shared" si="717"/>
        <v>14.58</v>
      </c>
    </row>
    <row r="724" spans="17:21" x14ac:dyDescent="0.25">
      <c r="Q724" s="3" t="s">
        <v>507</v>
      </c>
      <c r="R724" s="1">
        <v>14.339999999999998</v>
      </c>
      <c r="T724" t="str">
        <f t="shared" ref="T724:U724" si="718">Q722</f>
        <v>Dael Camilletti</v>
      </c>
      <c r="U724">
        <f t="shared" si="718"/>
        <v>14.58</v>
      </c>
    </row>
    <row r="725" spans="17:21" x14ac:dyDescent="0.25">
      <c r="Q725" s="3" t="s">
        <v>480</v>
      </c>
      <c r="R725" s="1">
        <v>14.339999999999998</v>
      </c>
      <c r="T725" t="str">
        <f t="shared" ref="T725:U725" si="719">Q723</f>
        <v>Merrel Steptow</v>
      </c>
      <c r="U725">
        <f t="shared" si="719"/>
        <v>14.55</v>
      </c>
    </row>
    <row r="726" spans="17:21" x14ac:dyDescent="0.25">
      <c r="Q726" s="3" t="s">
        <v>588</v>
      </c>
      <c r="R726" s="1">
        <v>14.339999999999998</v>
      </c>
      <c r="T726" t="str">
        <f t="shared" ref="T726:U726" si="720">Q724</f>
        <v>Kerr Patise</v>
      </c>
      <c r="U726">
        <f t="shared" si="720"/>
        <v>14.339999999999998</v>
      </c>
    </row>
    <row r="727" spans="17:21" x14ac:dyDescent="0.25">
      <c r="Q727" s="3" t="s">
        <v>360</v>
      </c>
      <c r="R727" s="1">
        <v>14.339999999999998</v>
      </c>
      <c r="T727" t="str">
        <f t="shared" ref="T727:U727" si="721">Q725</f>
        <v>Johnath Fairebrother</v>
      </c>
      <c r="U727">
        <f t="shared" si="721"/>
        <v>14.339999999999998</v>
      </c>
    </row>
    <row r="728" spans="17:21" x14ac:dyDescent="0.25">
      <c r="Q728" s="3" t="s">
        <v>13</v>
      </c>
      <c r="R728" s="1">
        <v>14.339999999999998</v>
      </c>
      <c r="T728" t="str">
        <f t="shared" ref="T728:U728" si="722">Q726</f>
        <v>Manuel Darrigoe</v>
      </c>
      <c r="U728">
        <f t="shared" si="722"/>
        <v>14.339999999999998</v>
      </c>
    </row>
    <row r="729" spans="17:21" x14ac:dyDescent="0.25">
      <c r="Q729" s="3" t="s">
        <v>298</v>
      </c>
      <c r="R729" s="1">
        <v>14.339999999999998</v>
      </c>
      <c r="T729" t="str">
        <f t="shared" ref="T729:U729" si="723">Q727</f>
        <v>Geoffrey Siuda</v>
      </c>
      <c r="U729">
        <f t="shared" si="723"/>
        <v>14.339999999999998</v>
      </c>
    </row>
    <row r="730" spans="17:21" x14ac:dyDescent="0.25">
      <c r="Q730" s="3" t="s">
        <v>242</v>
      </c>
      <c r="R730" s="1">
        <v>14.339999999999998</v>
      </c>
      <c r="T730" t="str">
        <f t="shared" ref="T730:U730" si="724">Q728</f>
        <v>Abbe Thys</v>
      </c>
      <c r="U730">
        <f t="shared" si="724"/>
        <v>14.339999999999998</v>
      </c>
    </row>
    <row r="731" spans="17:21" x14ac:dyDescent="0.25">
      <c r="Q731" s="3" t="s">
        <v>153</v>
      </c>
      <c r="R731" s="1">
        <v>14.339999999999998</v>
      </c>
      <c r="T731" t="str">
        <f t="shared" ref="T731:U731" si="725">Q729</f>
        <v>Elsbeth Westerman</v>
      </c>
      <c r="U731">
        <f t="shared" si="725"/>
        <v>14.339999999999998</v>
      </c>
    </row>
    <row r="732" spans="17:21" x14ac:dyDescent="0.25">
      <c r="Q732" s="3" t="s">
        <v>259</v>
      </c>
      <c r="R732" s="1">
        <v>13.75</v>
      </c>
      <c r="T732" t="str">
        <f t="shared" ref="T732:U732" si="726">Q730</f>
        <v>Dell Daveridge</v>
      </c>
      <c r="U732">
        <f t="shared" si="726"/>
        <v>14.339999999999998</v>
      </c>
    </row>
    <row r="733" spans="17:21" x14ac:dyDescent="0.25">
      <c r="Q733" s="3" t="s">
        <v>796</v>
      </c>
      <c r="R733" s="1">
        <v>13.5</v>
      </c>
      <c r="T733" t="str">
        <f t="shared" ref="T733:U733" si="727">Q731</f>
        <v>Carmina Hubbuck</v>
      </c>
      <c r="U733">
        <f t="shared" si="727"/>
        <v>14.339999999999998</v>
      </c>
    </row>
    <row r="734" spans="17:21" x14ac:dyDescent="0.25">
      <c r="Q734" s="3" t="s">
        <v>909</v>
      </c>
      <c r="R734" s="1">
        <v>13.5</v>
      </c>
      <c r="T734" t="str">
        <f t="shared" ref="T734:U734" si="728">Q732</f>
        <v>Diena Peetermann</v>
      </c>
      <c r="U734">
        <f t="shared" si="728"/>
        <v>13.75</v>
      </c>
    </row>
    <row r="735" spans="17:21" x14ac:dyDescent="0.25">
      <c r="Q735" s="3" t="s">
        <v>426</v>
      </c>
      <c r="R735" s="1">
        <v>13.5</v>
      </c>
      <c r="T735" t="str">
        <f t="shared" ref="T735:U735" si="729">Q733</f>
        <v>Shelli De Banke</v>
      </c>
      <c r="U735">
        <f t="shared" si="729"/>
        <v>13.5</v>
      </c>
    </row>
    <row r="736" spans="17:21" x14ac:dyDescent="0.25">
      <c r="Q736" s="3" t="s">
        <v>442</v>
      </c>
      <c r="R736" s="1">
        <v>13.5</v>
      </c>
      <c r="T736" t="str">
        <f t="shared" ref="T736:U736" si="730">Q734</f>
        <v>Wren Place</v>
      </c>
      <c r="U736">
        <f t="shared" si="730"/>
        <v>13.5</v>
      </c>
    </row>
    <row r="737" spans="17:21" x14ac:dyDescent="0.25">
      <c r="Q737" s="3" t="s">
        <v>155</v>
      </c>
      <c r="R737" s="1">
        <v>13.5</v>
      </c>
      <c r="T737" t="str">
        <f t="shared" ref="T737:U737" si="731">Q735</f>
        <v>Ilysa Whapple</v>
      </c>
      <c r="U737">
        <f t="shared" si="731"/>
        <v>13.5</v>
      </c>
    </row>
    <row r="738" spans="17:21" x14ac:dyDescent="0.25">
      <c r="Q738" s="3" t="s">
        <v>116</v>
      </c>
      <c r="R738" s="1">
        <v>13.5</v>
      </c>
      <c r="T738" t="str">
        <f t="shared" ref="T738:U738" si="732">Q736</f>
        <v>Itch Norquoy</v>
      </c>
      <c r="U738">
        <f t="shared" si="732"/>
        <v>13.5</v>
      </c>
    </row>
    <row r="739" spans="17:21" x14ac:dyDescent="0.25">
      <c r="Q739" s="3" t="s">
        <v>144</v>
      </c>
      <c r="R739" s="1">
        <v>13.5</v>
      </c>
      <c r="T739" t="str">
        <f t="shared" ref="T739:U739" si="733">Q737</f>
        <v>Carolann Beine</v>
      </c>
      <c r="U739">
        <f t="shared" si="733"/>
        <v>13.5</v>
      </c>
    </row>
    <row r="740" spans="17:21" x14ac:dyDescent="0.25">
      <c r="Q740" s="3" t="s">
        <v>719</v>
      </c>
      <c r="R740" s="1">
        <v>13.424999999999997</v>
      </c>
      <c r="T740" t="str">
        <f t="shared" ref="T740:U740" si="734">Q738</f>
        <v>Betti Lacasa</v>
      </c>
      <c r="U740">
        <f t="shared" si="734"/>
        <v>13.5</v>
      </c>
    </row>
    <row r="741" spans="17:21" x14ac:dyDescent="0.25">
      <c r="Q741" s="3" t="s">
        <v>599</v>
      </c>
      <c r="R741" s="1">
        <v>13.424999999999997</v>
      </c>
      <c r="T741" t="str">
        <f t="shared" ref="T741:U741" si="735">Q739</f>
        <v>Byram Mergue</v>
      </c>
      <c r="U741">
        <f t="shared" si="735"/>
        <v>13.5</v>
      </c>
    </row>
    <row r="742" spans="17:21" x14ac:dyDescent="0.25">
      <c r="Q742" s="3" t="s">
        <v>290</v>
      </c>
      <c r="R742" s="1">
        <v>13.424999999999997</v>
      </c>
      <c r="T742" t="str">
        <f t="shared" ref="T742:U742" si="736">Q740</f>
        <v>Quintina Heavyside</v>
      </c>
      <c r="U742">
        <f t="shared" si="736"/>
        <v>13.424999999999997</v>
      </c>
    </row>
    <row r="743" spans="17:21" x14ac:dyDescent="0.25">
      <c r="Q743" s="3" t="s">
        <v>36</v>
      </c>
      <c r="R743" s="1">
        <v>13.424999999999997</v>
      </c>
      <c r="T743" t="str">
        <f t="shared" ref="T743:U743" si="737">Q741</f>
        <v>Marris Grcic</v>
      </c>
      <c r="U743">
        <f t="shared" si="737"/>
        <v>13.424999999999997</v>
      </c>
    </row>
    <row r="744" spans="17:21" x14ac:dyDescent="0.25">
      <c r="Q744" s="3" t="s">
        <v>510</v>
      </c>
      <c r="R744" s="1">
        <v>13.365</v>
      </c>
      <c r="T744" t="str">
        <f t="shared" ref="T744:U744" si="738">Q742</f>
        <v>Edin Yantsurev</v>
      </c>
      <c r="U744">
        <f t="shared" si="738"/>
        <v>13.424999999999997</v>
      </c>
    </row>
    <row r="745" spans="17:21" x14ac:dyDescent="0.25">
      <c r="Q745" s="3" t="s">
        <v>594</v>
      </c>
      <c r="R745" s="1">
        <v>13.365</v>
      </c>
      <c r="T745" t="str">
        <f t="shared" ref="T745:U745" si="739">Q743</f>
        <v>Alica Kift</v>
      </c>
      <c r="U745">
        <f t="shared" si="739"/>
        <v>13.424999999999997</v>
      </c>
    </row>
    <row r="746" spans="17:21" x14ac:dyDescent="0.25">
      <c r="Q746" s="3" t="s">
        <v>115</v>
      </c>
      <c r="R746" s="1">
        <v>13.365</v>
      </c>
      <c r="T746" t="str">
        <f t="shared" ref="T746:U746" si="740">Q744</f>
        <v>Kienan Ferson</v>
      </c>
      <c r="U746">
        <f t="shared" si="740"/>
        <v>13.365</v>
      </c>
    </row>
    <row r="747" spans="17:21" x14ac:dyDescent="0.25">
      <c r="Q747" s="3" t="s">
        <v>162</v>
      </c>
      <c r="R747" s="1">
        <v>13.095000000000001</v>
      </c>
      <c r="T747" t="str">
        <f t="shared" ref="T747:U747" si="741">Q745</f>
        <v>Marie-jeanne Redgrave</v>
      </c>
      <c r="U747">
        <f t="shared" si="741"/>
        <v>13.365</v>
      </c>
    </row>
    <row r="748" spans="17:21" x14ac:dyDescent="0.25">
      <c r="Q748" s="3" t="s">
        <v>80</v>
      </c>
      <c r="R748" s="1">
        <v>13.095000000000001</v>
      </c>
      <c r="T748" t="str">
        <f t="shared" ref="T748:U748" si="742">Q746</f>
        <v>Bette-ann Munden</v>
      </c>
      <c r="U748">
        <f t="shared" si="742"/>
        <v>13.365</v>
      </c>
    </row>
    <row r="749" spans="17:21" x14ac:dyDescent="0.25">
      <c r="Q749" s="3" t="s">
        <v>693</v>
      </c>
      <c r="R749" s="1">
        <v>12.95</v>
      </c>
      <c r="T749" t="str">
        <f t="shared" ref="T749:U749" si="743">Q747</f>
        <v>Cecil Weatherall</v>
      </c>
      <c r="U749">
        <f t="shared" si="743"/>
        <v>13.095000000000001</v>
      </c>
    </row>
    <row r="750" spans="17:21" x14ac:dyDescent="0.25">
      <c r="Q750" s="3" t="s">
        <v>448</v>
      </c>
      <c r="R750" s="1">
        <v>12.95</v>
      </c>
      <c r="T750" t="str">
        <f t="shared" ref="T750:U750" si="744">Q748</f>
        <v>Aube Follett</v>
      </c>
      <c r="U750">
        <f t="shared" si="744"/>
        <v>13.095000000000001</v>
      </c>
    </row>
    <row r="751" spans="17:21" x14ac:dyDescent="0.25">
      <c r="Q751" s="3" t="s">
        <v>444</v>
      </c>
      <c r="R751" s="1">
        <v>12.95</v>
      </c>
      <c r="T751" t="str">
        <f t="shared" ref="T751:U751" si="745">Q749</f>
        <v>Othello Syseland</v>
      </c>
      <c r="U751">
        <f t="shared" si="745"/>
        <v>12.95</v>
      </c>
    </row>
    <row r="752" spans="17:21" x14ac:dyDescent="0.25">
      <c r="Q752" s="3" t="s">
        <v>47</v>
      </c>
      <c r="R752" s="1">
        <v>12.95</v>
      </c>
      <c r="T752" t="str">
        <f t="shared" ref="T752:U752" si="746">Q750</f>
        <v>Jami Redholes</v>
      </c>
      <c r="U752">
        <f t="shared" si="746"/>
        <v>12.95</v>
      </c>
    </row>
    <row r="753" spans="17:21" x14ac:dyDescent="0.25">
      <c r="Q753" s="3" t="s">
        <v>178</v>
      </c>
      <c r="R753" s="1">
        <v>12.95</v>
      </c>
      <c r="T753" t="str">
        <f t="shared" ref="T753:U753" si="747">Q751</f>
        <v>Jacinthe Balsillie</v>
      </c>
      <c r="U753">
        <f t="shared" si="747"/>
        <v>12.95</v>
      </c>
    </row>
    <row r="754" spans="17:21" x14ac:dyDescent="0.25">
      <c r="Q754" s="3" t="s">
        <v>879</v>
      </c>
      <c r="R754" s="1">
        <v>12.375</v>
      </c>
      <c r="T754" t="str">
        <f t="shared" ref="T754:U754" si="748">Q752</f>
        <v>Ambrosio Weinmann</v>
      </c>
      <c r="U754">
        <f t="shared" si="748"/>
        <v>12.95</v>
      </c>
    </row>
    <row r="755" spans="17:21" x14ac:dyDescent="0.25">
      <c r="Q755" s="3" t="s">
        <v>93</v>
      </c>
      <c r="R755" s="1">
        <v>12.375</v>
      </c>
      <c r="T755" t="str">
        <f t="shared" ref="T755:U755" si="749">Q753</f>
        <v>Chiarra Shalders</v>
      </c>
      <c r="U755">
        <f t="shared" si="749"/>
        <v>12.95</v>
      </c>
    </row>
    <row r="756" spans="17:21" x14ac:dyDescent="0.25">
      <c r="Q756" s="3" t="s">
        <v>223</v>
      </c>
      <c r="R756" s="1">
        <v>12.375</v>
      </c>
      <c r="T756" t="str">
        <f t="shared" ref="T756:U756" si="750">Q754</f>
        <v>Vidovic Antonelli</v>
      </c>
      <c r="U756">
        <f t="shared" si="750"/>
        <v>12.375</v>
      </c>
    </row>
    <row r="757" spans="17:21" x14ac:dyDescent="0.25">
      <c r="Q757" s="3" t="s">
        <v>660</v>
      </c>
      <c r="R757" s="1">
        <v>12.15</v>
      </c>
      <c r="T757" t="str">
        <f t="shared" ref="T757:U757" si="751">Q755</f>
        <v>Barrie Fallowes</v>
      </c>
      <c r="U757">
        <f t="shared" si="751"/>
        <v>12.375</v>
      </c>
    </row>
    <row r="758" spans="17:21" x14ac:dyDescent="0.25">
      <c r="Q758" s="3" t="s">
        <v>317</v>
      </c>
      <c r="R758" s="1">
        <v>12.15</v>
      </c>
      <c r="T758" t="str">
        <f t="shared" ref="T758:U758" si="752">Q756</f>
        <v>Culley Farris</v>
      </c>
      <c r="U758">
        <f t="shared" si="752"/>
        <v>12.375</v>
      </c>
    </row>
    <row r="759" spans="17:21" x14ac:dyDescent="0.25">
      <c r="Q759" s="3" t="s">
        <v>492</v>
      </c>
      <c r="R759" s="1">
        <v>12.15</v>
      </c>
      <c r="T759" t="str">
        <f t="shared" ref="T759:U759" si="753">Q757</f>
        <v>Nelie Garnson</v>
      </c>
      <c r="U759">
        <f t="shared" si="753"/>
        <v>12.15</v>
      </c>
    </row>
    <row r="760" spans="17:21" x14ac:dyDescent="0.25">
      <c r="Q760" s="3" t="s">
        <v>870</v>
      </c>
      <c r="R760" s="1">
        <v>11.94</v>
      </c>
      <c r="T760" t="str">
        <f t="shared" ref="T760:U760" si="754">Q758</f>
        <v>Evelina Dacca</v>
      </c>
      <c r="U760">
        <f t="shared" si="754"/>
        <v>12.15</v>
      </c>
    </row>
    <row r="761" spans="17:21" x14ac:dyDescent="0.25">
      <c r="Q761" s="3" t="s">
        <v>343</v>
      </c>
      <c r="R761" s="1">
        <v>11.94</v>
      </c>
      <c r="T761" t="str">
        <f t="shared" ref="T761:U761" si="755">Q759</f>
        <v>Kameko Philbrick</v>
      </c>
      <c r="U761">
        <f t="shared" si="755"/>
        <v>12.15</v>
      </c>
    </row>
    <row r="762" spans="17:21" x14ac:dyDescent="0.25">
      <c r="Q762" s="3" t="s">
        <v>432</v>
      </c>
      <c r="R762" s="1">
        <v>11.94</v>
      </c>
      <c r="T762" t="str">
        <f t="shared" ref="T762:U762" si="756">Q760</f>
        <v>Valenka Stansbury</v>
      </c>
      <c r="U762">
        <f t="shared" si="756"/>
        <v>11.94</v>
      </c>
    </row>
    <row r="763" spans="17:21" x14ac:dyDescent="0.25">
      <c r="Q763" s="3" t="s">
        <v>525</v>
      </c>
      <c r="R763" s="1">
        <v>11.94</v>
      </c>
      <c r="T763" t="str">
        <f t="shared" ref="T763:U763" si="757">Q761</f>
        <v>Frans Habbergham</v>
      </c>
      <c r="U763">
        <f t="shared" si="757"/>
        <v>11.94</v>
      </c>
    </row>
    <row r="764" spans="17:21" x14ac:dyDescent="0.25">
      <c r="Q764" s="3" t="s">
        <v>458</v>
      </c>
      <c r="R764" s="1">
        <v>11.94</v>
      </c>
      <c r="T764" t="str">
        <f t="shared" ref="T764:U764" si="758">Q762</f>
        <v>Iorgo Kleinert</v>
      </c>
      <c r="U764">
        <f t="shared" si="758"/>
        <v>11.94</v>
      </c>
    </row>
    <row r="765" spans="17:21" x14ac:dyDescent="0.25">
      <c r="Q765" s="3" t="s">
        <v>565</v>
      </c>
      <c r="R765" s="1">
        <v>11.94</v>
      </c>
      <c r="T765" t="str">
        <f t="shared" ref="T765:U765" si="759">Q763</f>
        <v>Krissie Hammett</v>
      </c>
      <c r="U765">
        <f t="shared" si="759"/>
        <v>11.94</v>
      </c>
    </row>
    <row r="766" spans="17:21" x14ac:dyDescent="0.25">
      <c r="Q766" s="3" t="s">
        <v>134</v>
      </c>
      <c r="R766" s="1">
        <v>11.94</v>
      </c>
      <c r="T766" t="str">
        <f t="shared" ref="T766:U766" si="760">Q764</f>
        <v>Jasper Sisneros</v>
      </c>
      <c r="U766">
        <f t="shared" si="760"/>
        <v>11.94</v>
      </c>
    </row>
    <row r="767" spans="17:21" x14ac:dyDescent="0.25">
      <c r="Q767" s="3" t="s">
        <v>38</v>
      </c>
      <c r="R767" s="1">
        <v>11.94</v>
      </c>
      <c r="T767" t="str">
        <f t="shared" ref="T767:U767" si="761">Q765</f>
        <v>Lowell Keenleyside</v>
      </c>
      <c r="U767">
        <f t="shared" si="761"/>
        <v>11.94</v>
      </c>
    </row>
    <row r="768" spans="17:21" x14ac:dyDescent="0.25">
      <c r="Q768" s="3" t="s">
        <v>699</v>
      </c>
      <c r="R768" s="1">
        <v>11.654999999999999</v>
      </c>
      <c r="T768" t="str">
        <f t="shared" ref="T768:U768" si="762">Q766</f>
        <v>Bram Revel</v>
      </c>
      <c r="U768">
        <f t="shared" si="762"/>
        <v>11.94</v>
      </c>
    </row>
    <row r="769" spans="17:21" x14ac:dyDescent="0.25">
      <c r="Q769" s="3" t="s">
        <v>582</v>
      </c>
      <c r="R769" s="1">
        <v>11.654999999999999</v>
      </c>
      <c r="T769" t="str">
        <f t="shared" ref="T769:U769" si="763">Q767</f>
        <v>Alisha Hulburt</v>
      </c>
      <c r="U769">
        <f t="shared" si="763"/>
        <v>11.94</v>
      </c>
    </row>
    <row r="770" spans="17:21" x14ac:dyDescent="0.25">
      <c r="Q770" s="3" t="s">
        <v>750</v>
      </c>
      <c r="R770" s="1">
        <v>11.25</v>
      </c>
      <c r="T770" t="str">
        <f t="shared" ref="T770:U770" si="764">Q768</f>
        <v>Patrice Trobe</v>
      </c>
      <c r="U770">
        <f t="shared" si="764"/>
        <v>11.654999999999999</v>
      </c>
    </row>
    <row r="771" spans="17:21" x14ac:dyDescent="0.25">
      <c r="Q771" s="3" t="s">
        <v>791</v>
      </c>
      <c r="R771" s="1">
        <v>11.25</v>
      </c>
      <c r="T771" t="str">
        <f t="shared" ref="T771:U771" si="765">Q769</f>
        <v>Maisie Sarvar</v>
      </c>
      <c r="U771">
        <f t="shared" si="765"/>
        <v>11.654999999999999</v>
      </c>
    </row>
    <row r="772" spans="17:21" x14ac:dyDescent="0.25">
      <c r="Q772" s="3" t="s">
        <v>417</v>
      </c>
      <c r="R772" s="1">
        <v>11.25</v>
      </c>
      <c r="T772" t="str">
        <f t="shared" ref="T772:U772" si="766">Q770</f>
        <v>Rickie Faltin</v>
      </c>
      <c r="U772">
        <f t="shared" si="766"/>
        <v>11.25</v>
      </c>
    </row>
    <row r="773" spans="17:21" x14ac:dyDescent="0.25">
      <c r="Q773" s="3" t="s">
        <v>186</v>
      </c>
      <c r="R773" s="1">
        <v>11.25</v>
      </c>
      <c r="T773" t="str">
        <f t="shared" ref="T773:U773" si="767">Q771</f>
        <v>Shawnee Critchlow</v>
      </c>
      <c r="U773">
        <f t="shared" si="767"/>
        <v>11.25</v>
      </c>
    </row>
    <row r="774" spans="17:21" x14ac:dyDescent="0.25">
      <c r="Q774" s="3" t="s">
        <v>849</v>
      </c>
      <c r="R774" s="1">
        <v>10.935</v>
      </c>
      <c r="T774" t="str">
        <f t="shared" ref="T774:U774" si="768">Q772</f>
        <v>Hewet Synnot</v>
      </c>
      <c r="U774">
        <f t="shared" si="768"/>
        <v>11.25</v>
      </c>
    </row>
    <row r="775" spans="17:21" x14ac:dyDescent="0.25">
      <c r="Q775" s="3" t="s">
        <v>397</v>
      </c>
      <c r="R775" s="1">
        <v>10.935</v>
      </c>
      <c r="T775" t="str">
        <f t="shared" ref="T775:U775" si="769">Q773</f>
        <v>Chrisy Blofeld</v>
      </c>
      <c r="U775">
        <f t="shared" si="769"/>
        <v>11.25</v>
      </c>
    </row>
    <row r="776" spans="17:21" x14ac:dyDescent="0.25">
      <c r="Q776" s="3" t="s">
        <v>139</v>
      </c>
      <c r="R776" s="1">
        <v>10.935</v>
      </c>
      <c r="T776" t="str">
        <f t="shared" ref="T776:U776" si="770">Q774</f>
        <v>Theda Grizard</v>
      </c>
      <c r="U776">
        <f t="shared" si="770"/>
        <v>10.935</v>
      </c>
    </row>
    <row r="777" spans="17:21" x14ac:dyDescent="0.25">
      <c r="Q777" s="3" t="s">
        <v>653</v>
      </c>
      <c r="R777" s="1">
        <v>10.754999999999999</v>
      </c>
      <c r="T777" t="str">
        <f t="shared" ref="T777:U777" si="771">Q775</f>
        <v>Hamlen Pallister</v>
      </c>
      <c r="U777">
        <f t="shared" si="771"/>
        <v>10.935</v>
      </c>
    </row>
    <row r="778" spans="17:21" x14ac:dyDescent="0.25">
      <c r="Q778" s="3" t="s">
        <v>517</v>
      </c>
      <c r="R778" s="1">
        <v>10.754999999999999</v>
      </c>
      <c r="T778" t="str">
        <f t="shared" ref="T778:U778" si="772">Q776</f>
        <v>Brittani Thoresbie</v>
      </c>
      <c r="U778">
        <f t="shared" si="772"/>
        <v>10.935</v>
      </c>
    </row>
    <row r="779" spans="17:21" x14ac:dyDescent="0.25">
      <c r="Q779" s="3" t="s">
        <v>128</v>
      </c>
      <c r="R779" s="1">
        <v>10.754999999999999</v>
      </c>
      <c r="T779" t="str">
        <f t="shared" ref="T779:U779" si="773">Q777</f>
        <v>Natal Vigrass</v>
      </c>
      <c r="U779">
        <f t="shared" si="773"/>
        <v>10.754999999999999</v>
      </c>
    </row>
    <row r="780" spans="17:21" x14ac:dyDescent="0.25">
      <c r="Q780" s="3" t="s">
        <v>149</v>
      </c>
      <c r="R780" s="1">
        <v>10.754999999999999</v>
      </c>
      <c r="T780" t="str">
        <f t="shared" ref="T780:U780" si="774">Q778</f>
        <v>Kiri Avramow</v>
      </c>
      <c r="U780">
        <f t="shared" si="774"/>
        <v>10.754999999999999</v>
      </c>
    </row>
    <row r="781" spans="17:21" x14ac:dyDescent="0.25">
      <c r="Q781" s="3" t="s">
        <v>728</v>
      </c>
      <c r="R781" s="1">
        <v>10.739999999999998</v>
      </c>
      <c r="T781" t="str">
        <f t="shared" ref="T781:U781" si="775">Q779</f>
        <v>Bobbe Renner</v>
      </c>
      <c r="U781">
        <f t="shared" si="775"/>
        <v>10.754999999999999</v>
      </c>
    </row>
    <row r="782" spans="17:21" x14ac:dyDescent="0.25">
      <c r="Q782" s="3" t="s">
        <v>459</v>
      </c>
      <c r="R782" s="1">
        <v>10.739999999999998</v>
      </c>
      <c r="T782" t="str">
        <f t="shared" ref="T782:U782" si="776">Q780</f>
        <v>Camellia Kid</v>
      </c>
      <c r="U782">
        <f t="shared" si="776"/>
        <v>10.754999999999999</v>
      </c>
    </row>
    <row r="783" spans="17:21" x14ac:dyDescent="0.25">
      <c r="Q783" s="3" t="s">
        <v>147</v>
      </c>
      <c r="R783" s="1">
        <v>10.739999999999998</v>
      </c>
      <c r="T783" t="str">
        <f t="shared" ref="T783:U783" si="777">Q781</f>
        <v>Ransell McKall</v>
      </c>
      <c r="U783">
        <f t="shared" si="777"/>
        <v>10.739999999999998</v>
      </c>
    </row>
    <row r="784" spans="17:21" x14ac:dyDescent="0.25">
      <c r="Q784" s="3" t="s">
        <v>50</v>
      </c>
      <c r="R784" s="1">
        <v>10.739999999999998</v>
      </c>
      <c r="T784" t="str">
        <f t="shared" ref="T784:U784" si="778">Q782</f>
        <v>Javier Causnett</v>
      </c>
      <c r="U784">
        <f t="shared" si="778"/>
        <v>10.739999999999998</v>
      </c>
    </row>
    <row r="785" spans="17:21" x14ac:dyDescent="0.25">
      <c r="Q785" s="3" t="s">
        <v>672</v>
      </c>
      <c r="R785" s="1">
        <v>9.9499999999999993</v>
      </c>
      <c r="T785" t="str">
        <f t="shared" ref="T785:U785" si="779">Q783</f>
        <v>Caddric Krzysztofiak</v>
      </c>
      <c r="U785">
        <f t="shared" si="779"/>
        <v>10.739999999999998</v>
      </c>
    </row>
    <row r="786" spans="17:21" x14ac:dyDescent="0.25">
      <c r="Q786" s="3" t="s">
        <v>380</v>
      </c>
      <c r="R786" s="1">
        <v>9.9499999999999993</v>
      </c>
      <c r="T786" t="str">
        <f t="shared" ref="T786:U786" si="780">Q784</f>
        <v>Amii Gallyon</v>
      </c>
      <c r="U786">
        <f t="shared" si="780"/>
        <v>10.739999999999998</v>
      </c>
    </row>
    <row r="787" spans="17:21" x14ac:dyDescent="0.25">
      <c r="Q787" s="3" t="s">
        <v>600</v>
      </c>
      <c r="R787" s="1">
        <v>9.9499999999999993</v>
      </c>
      <c r="T787" t="str">
        <f t="shared" ref="T787:U787" si="781">Q785</f>
        <v>Nicolina Jenny</v>
      </c>
      <c r="U787">
        <f t="shared" si="781"/>
        <v>9.9499999999999993</v>
      </c>
    </row>
    <row r="788" spans="17:21" x14ac:dyDescent="0.25">
      <c r="Q788" s="3" t="s">
        <v>570</v>
      </c>
      <c r="R788" s="1">
        <v>9.9499999999999993</v>
      </c>
      <c r="T788" t="str">
        <f t="shared" ref="T788:U788" si="782">Q786</f>
        <v>Grazia Oats</v>
      </c>
      <c r="U788">
        <f t="shared" si="782"/>
        <v>9.9499999999999993</v>
      </c>
    </row>
    <row r="789" spans="17:21" x14ac:dyDescent="0.25">
      <c r="Q789" s="3" t="s">
        <v>281</v>
      </c>
      <c r="R789" s="1">
        <v>9.9499999999999993</v>
      </c>
      <c r="T789" t="str">
        <f t="shared" ref="T789:U789" si="783">Q787</f>
        <v>Martie Brimilcombe</v>
      </c>
      <c r="U789">
        <f t="shared" si="783"/>
        <v>9.9499999999999993</v>
      </c>
    </row>
    <row r="790" spans="17:21" x14ac:dyDescent="0.25">
      <c r="Q790" s="3" t="s">
        <v>652</v>
      </c>
      <c r="R790" s="1">
        <v>9.51</v>
      </c>
      <c r="T790" t="str">
        <f t="shared" ref="T790:U790" si="784">Q788</f>
        <v>Lyn Entwistle</v>
      </c>
      <c r="U790">
        <f t="shared" si="784"/>
        <v>9.9499999999999993</v>
      </c>
    </row>
    <row r="791" spans="17:21" x14ac:dyDescent="0.25">
      <c r="Q791" s="3" t="s">
        <v>917</v>
      </c>
      <c r="R791" s="1">
        <v>9.51</v>
      </c>
      <c r="T791" t="str">
        <f t="shared" ref="T791:U791" si="785">Q789</f>
        <v>Dottie Rallin</v>
      </c>
      <c r="U791">
        <f t="shared" si="785"/>
        <v>9.9499999999999993</v>
      </c>
    </row>
    <row r="792" spans="17:21" x14ac:dyDescent="0.25">
      <c r="Q792" s="3" t="s">
        <v>669</v>
      </c>
      <c r="R792" s="1">
        <v>9.51</v>
      </c>
      <c r="T792" t="str">
        <f t="shared" ref="T792:U792" si="786">Q790</f>
        <v>Nat Saleway</v>
      </c>
      <c r="U792">
        <f t="shared" si="786"/>
        <v>9.51</v>
      </c>
    </row>
    <row r="793" spans="17:21" x14ac:dyDescent="0.25">
      <c r="Q793" s="3" t="s">
        <v>856</v>
      </c>
      <c r="R793" s="1">
        <v>9.51</v>
      </c>
      <c r="T793" t="str">
        <f t="shared" ref="T793:U793" si="787">Q791</f>
        <v>Zaccaria Sherewood</v>
      </c>
      <c r="U793">
        <f t="shared" si="787"/>
        <v>9.51</v>
      </c>
    </row>
    <row r="794" spans="17:21" x14ac:dyDescent="0.25">
      <c r="Q794" s="3" t="s">
        <v>802</v>
      </c>
      <c r="R794" s="1">
        <v>9.51</v>
      </c>
      <c r="T794" t="str">
        <f t="shared" ref="T794:U794" si="788">Q792</f>
        <v>Nicky Ayris</v>
      </c>
      <c r="U794">
        <f t="shared" si="788"/>
        <v>9.51</v>
      </c>
    </row>
    <row r="795" spans="17:21" x14ac:dyDescent="0.25">
      <c r="Q795" s="3" t="s">
        <v>822</v>
      </c>
      <c r="R795" s="1">
        <v>9.51</v>
      </c>
      <c r="T795" t="str">
        <f t="shared" ref="T795:U795" si="789">Q793</f>
        <v>Timoteo Glisane</v>
      </c>
      <c r="U795">
        <f t="shared" si="789"/>
        <v>9.51</v>
      </c>
    </row>
    <row r="796" spans="17:21" x14ac:dyDescent="0.25">
      <c r="Q796" s="3" t="s">
        <v>690</v>
      </c>
      <c r="R796" s="1">
        <v>9.51</v>
      </c>
      <c r="T796" t="str">
        <f t="shared" ref="T796:U796" si="790">Q794</f>
        <v>Shirlene Edmondson</v>
      </c>
      <c r="U796">
        <f t="shared" si="790"/>
        <v>9.51</v>
      </c>
    </row>
    <row r="797" spans="17:21" x14ac:dyDescent="0.25">
      <c r="Q797" s="3" t="s">
        <v>617</v>
      </c>
      <c r="R797" s="1">
        <v>9.51</v>
      </c>
      <c r="T797" t="str">
        <f t="shared" ref="T797:U797" si="791">Q795</f>
        <v>Stan Barribal</v>
      </c>
      <c r="U797">
        <f t="shared" si="791"/>
        <v>9.51</v>
      </c>
    </row>
    <row r="798" spans="17:21" x14ac:dyDescent="0.25">
      <c r="Q798" s="3" t="s">
        <v>106</v>
      </c>
      <c r="R798" s="1">
        <v>9.51</v>
      </c>
      <c r="T798" t="str">
        <f t="shared" ref="T798:U798" si="792">Q796</f>
        <v>Orly Ryland</v>
      </c>
      <c r="U798">
        <f t="shared" si="792"/>
        <v>9.51</v>
      </c>
    </row>
    <row r="799" spans="17:21" x14ac:dyDescent="0.25">
      <c r="Q799" s="3" t="s">
        <v>673</v>
      </c>
      <c r="R799" s="1">
        <v>8.9550000000000001</v>
      </c>
      <c r="T799" t="str">
        <f t="shared" ref="T799:U799" si="793">Q797</f>
        <v>Merell Zanazzi</v>
      </c>
      <c r="U799">
        <f t="shared" si="793"/>
        <v>9.51</v>
      </c>
    </row>
    <row r="800" spans="17:21" x14ac:dyDescent="0.25">
      <c r="Q800" s="3" t="s">
        <v>636</v>
      </c>
      <c r="R800" s="1">
        <v>8.9550000000000001</v>
      </c>
      <c r="T800" t="str">
        <f t="shared" ref="T800:U800" si="794">Q798</f>
        <v>Benedetto Gozzett</v>
      </c>
      <c r="U800">
        <f t="shared" si="794"/>
        <v>9.51</v>
      </c>
    </row>
    <row r="801" spans="17:21" x14ac:dyDescent="0.25">
      <c r="Q801" s="3" t="s">
        <v>381</v>
      </c>
      <c r="R801" s="1">
        <v>8.9550000000000001</v>
      </c>
      <c r="T801" t="str">
        <f t="shared" ref="T801:U801" si="795">Q799</f>
        <v>Niels Leake</v>
      </c>
      <c r="U801">
        <f t="shared" si="795"/>
        <v>8.9550000000000001</v>
      </c>
    </row>
    <row r="802" spans="17:21" x14ac:dyDescent="0.25">
      <c r="Q802" s="3" t="s">
        <v>195</v>
      </c>
      <c r="R802" s="1">
        <v>8.9550000000000001</v>
      </c>
      <c r="T802" t="str">
        <f t="shared" ref="T802:U802" si="796">Q800</f>
        <v>Mordy Van Der Vlies</v>
      </c>
      <c r="U802">
        <f t="shared" si="796"/>
        <v>8.9550000000000001</v>
      </c>
    </row>
    <row r="803" spans="17:21" x14ac:dyDescent="0.25">
      <c r="Q803" s="3" t="s">
        <v>160</v>
      </c>
      <c r="R803" s="1">
        <v>8.9550000000000001</v>
      </c>
      <c r="T803" t="str">
        <f t="shared" ref="T803:U803" si="797">Q801</f>
        <v>Gregg Hawkyens</v>
      </c>
      <c r="U803">
        <f t="shared" si="797"/>
        <v>8.9550000000000001</v>
      </c>
    </row>
    <row r="804" spans="17:21" x14ac:dyDescent="0.25">
      <c r="Q804" s="3" t="s">
        <v>269</v>
      </c>
      <c r="R804" s="1">
        <v>8.9550000000000001</v>
      </c>
      <c r="T804" t="str">
        <f t="shared" ref="T804:U804" si="798">Q802</f>
        <v>Clayton Kingwell</v>
      </c>
      <c r="U804">
        <f t="shared" si="798"/>
        <v>8.9550000000000001</v>
      </c>
    </row>
    <row r="805" spans="17:21" x14ac:dyDescent="0.25">
      <c r="Q805" s="3" t="s">
        <v>227</v>
      </c>
      <c r="R805" s="1">
        <v>8.9550000000000001</v>
      </c>
      <c r="T805" t="str">
        <f t="shared" ref="T805:U805" si="799">Q803</f>
        <v>Catharine Scoines</v>
      </c>
      <c r="U805">
        <f t="shared" si="799"/>
        <v>8.9550000000000001</v>
      </c>
    </row>
    <row r="806" spans="17:21" x14ac:dyDescent="0.25">
      <c r="Q806" s="3" t="s">
        <v>638</v>
      </c>
      <c r="R806" s="1">
        <v>8.9499999999999993</v>
      </c>
      <c r="T806" t="str">
        <f t="shared" ref="T806:U806" si="800">Q804</f>
        <v>Donavon Fowle</v>
      </c>
      <c r="U806">
        <f t="shared" si="800"/>
        <v>8.9550000000000001</v>
      </c>
    </row>
    <row r="807" spans="17:21" x14ac:dyDescent="0.25">
      <c r="Q807" s="3" t="s">
        <v>560</v>
      </c>
      <c r="R807" s="1">
        <v>8.9499999999999993</v>
      </c>
      <c r="T807" t="str">
        <f t="shared" ref="T807:U807" si="801">Q805</f>
        <v>Dagny Kornel</v>
      </c>
      <c r="U807">
        <f t="shared" si="801"/>
        <v>8.9550000000000001</v>
      </c>
    </row>
    <row r="808" spans="17:21" x14ac:dyDescent="0.25">
      <c r="Q808" s="3" t="s">
        <v>809</v>
      </c>
      <c r="R808" s="1">
        <v>8.91</v>
      </c>
      <c r="T808" t="str">
        <f t="shared" ref="T808:U808" si="802">Q806</f>
        <v>Morly Rocks</v>
      </c>
      <c r="U808">
        <f t="shared" si="802"/>
        <v>8.9499999999999993</v>
      </c>
    </row>
    <row r="809" spans="17:21" x14ac:dyDescent="0.25">
      <c r="Q809" s="3" t="s">
        <v>446</v>
      </c>
      <c r="R809" s="1">
        <v>8.91</v>
      </c>
      <c r="T809" t="str">
        <f t="shared" ref="T809:U809" si="803">Q807</f>
        <v>Lorelei Nardoni</v>
      </c>
      <c r="U809">
        <f t="shared" si="803"/>
        <v>8.9499999999999993</v>
      </c>
    </row>
    <row r="810" spans="17:21" x14ac:dyDescent="0.25">
      <c r="Q810" s="3" t="s">
        <v>456</v>
      </c>
      <c r="R810" s="1">
        <v>8.91</v>
      </c>
      <c r="T810" t="str">
        <f t="shared" ref="T810:U810" si="804">Q808</f>
        <v>Silvanus Enefer</v>
      </c>
      <c r="U810">
        <f t="shared" si="804"/>
        <v>8.91</v>
      </c>
    </row>
    <row r="811" spans="17:21" x14ac:dyDescent="0.25">
      <c r="Q811" s="3" t="s">
        <v>520</v>
      </c>
      <c r="R811" s="1">
        <v>8.91</v>
      </c>
      <c r="T811" t="str">
        <f t="shared" ref="T811:U811" si="805">Q809</f>
        <v>Jacquelyn Maha</v>
      </c>
      <c r="U811">
        <f t="shared" si="805"/>
        <v>8.91</v>
      </c>
    </row>
    <row r="812" spans="17:21" x14ac:dyDescent="0.25">
      <c r="Q812" s="3" t="s">
        <v>12</v>
      </c>
      <c r="R812" s="1">
        <v>8.91</v>
      </c>
      <c r="T812" t="str">
        <f t="shared" ref="T812:U812" si="806">Q810</f>
        <v>Jarred Camillo</v>
      </c>
      <c r="U812">
        <f t="shared" si="806"/>
        <v>8.91</v>
      </c>
    </row>
    <row r="813" spans="17:21" x14ac:dyDescent="0.25">
      <c r="Q813" s="3" t="s">
        <v>924</v>
      </c>
      <c r="R813" s="1">
        <v>8.73</v>
      </c>
      <c r="T813" t="str">
        <f t="shared" ref="T813:U813" si="807">Q811</f>
        <v>Konstantine Thoumasson</v>
      </c>
      <c r="U813">
        <f t="shared" si="807"/>
        <v>8.91</v>
      </c>
    </row>
    <row r="814" spans="17:21" x14ac:dyDescent="0.25">
      <c r="Q814" s="3" t="s">
        <v>768</v>
      </c>
      <c r="R814" s="1">
        <v>8.73</v>
      </c>
      <c r="T814" t="str">
        <f t="shared" ref="T814:U814" si="808">Q812</f>
        <v>Abba Pummell</v>
      </c>
      <c r="U814">
        <f t="shared" si="808"/>
        <v>8.91</v>
      </c>
    </row>
    <row r="815" spans="17:21" x14ac:dyDescent="0.25">
      <c r="Q815" s="3" t="s">
        <v>810</v>
      </c>
      <c r="R815" s="1">
        <v>8.73</v>
      </c>
      <c r="T815" t="str">
        <f t="shared" ref="T815:U815" si="809">Q813</f>
        <v>Zorina Ponting</v>
      </c>
      <c r="U815">
        <f t="shared" si="809"/>
        <v>8.73</v>
      </c>
    </row>
    <row r="816" spans="17:21" x14ac:dyDescent="0.25">
      <c r="Q816" s="3" t="s">
        <v>887</v>
      </c>
      <c r="R816" s="1">
        <v>8.73</v>
      </c>
      <c r="T816" t="str">
        <f t="shared" ref="T816:U816" si="810">Q814</f>
        <v>Rutger Pithcock</v>
      </c>
      <c r="U816">
        <f t="shared" si="810"/>
        <v>8.73</v>
      </c>
    </row>
    <row r="817" spans="17:21" x14ac:dyDescent="0.25">
      <c r="Q817" s="3" t="s">
        <v>814</v>
      </c>
      <c r="R817" s="1">
        <v>8.73</v>
      </c>
      <c r="T817" t="str">
        <f t="shared" ref="T817:U817" si="811">Q815</f>
        <v>Silvio Iorizzi</v>
      </c>
      <c r="U817">
        <f t="shared" si="811"/>
        <v>8.73</v>
      </c>
    </row>
    <row r="818" spans="17:21" x14ac:dyDescent="0.25">
      <c r="Q818" s="3" t="s">
        <v>526</v>
      </c>
      <c r="R818" s="1">
        <v>8.73</v>
      </c>
      <c r="T818" t="str">
        <f t="shared" ref="T818:U818" si="812">Q816</f>
        <v>Wain Cholomin</v>
      </c>
      <c r="U818">
        <f t="shared" si="812"/>
        <v>8.73</v>
      </c>
    </row>
    <row r="819" spans="17:21" x14ac:dyDescent="0.25">
      <c r="Q819" s="3" t="s">
        <v>574</v>
      </c>
      <c r="R819" s="1">
        <v>8.73</v>
      </c>
      <c r="T819" t="str">
        <f t="shared" ref="T819:U819" si="813">Q817</f>
        <v>Sinclare Edsell</v>
      </c>
      <c r="U819">
        <f t="shared" si="813"/>
        <v>8.73</v>
      </c>
    </row>
    <row r="820" spans="17:21" x14ac:dyDescent="0.25">
      <c r="Q820" s="3" t="s">
        <v>61</v>
      </c>
      <c r="R820" s="1">
        <v>8.73</v>
      </c>
      <c r="T820" t="str">
        <f t="shared" ref="T820:U820" si="814">Q818</f>
        <v>Kristos Streight</v>
      </c>
      <c r="U820">
        <f t="shared" si="814"/>
        <v>8.73</v>
      </c>
    </row>
    <row r="821" spans="17:21" x14ac:dyDescent="0.25">
      <c r="Q821" s="3" t="s">
        <v>45</v>
      </c>
      <c r="R821" s="1">
        <v>8.73</v>
      </c>
      <c r="T821" t="str">
        <f t="shared" ref="T821:U821" si="815">Q819</f>
        <v>Lyon Ibert</v>
      </c>
      <c r="U821">
        <f t="shared" si="815"/>
        <v>8.73</v>
      </c>
    </row>
    <row r="822" spans="17:21" x14ac:dyDescent="0.25">
      <c r="Q822" s="3" t="s">
        <v>189</v>
      </c>
      <c r="R822" s="1">
        <v>8.73</v>
      </c>
      <c r="T822" t="str">
        <f t="shared" ref="T822:U822" si="816">Q820</f>
        <v>Annabella Danzey</v>
      </c>
      <c r="U822">
        <f t="shared" si="816"/>
        <v>8.73</v>
      </c>
    </row>
    <row r="823" spans="17:21" x14ac:dyDescent="0.25">
      <c r="Q823" s="3" t="s">
        <v>237</v>
      </c>
      <c r="R823" s="1">
        <v>8.73</v>
      </c>
      <c r="T823" t="str">
        <f t="shared" ref="T823:U823" si="817">Q821</f>
        <v>Alva Filipczak</v>
      </c>
      <c r="U823">
        <f t="shared" si="817"/>
        <v>8.73</v>
      </c>
    </row>
    <row r="824" spans="17:21" x14ac:dyDescent="0.25">
      <c r="Q824" s="3" t="s">
        <v>789</v>
      </c>
      <c r="R824" s="1">
        <v>8.25</v>
      </c>
      <c r="T824" t="str">
        <f t="shared" ref="T824:U824" si="818">Q822</f>
        <v>Cissiee Raisbeck</v>
      </c>
      <c r="U824">
        <f t="shared" si="818"/>
        <v>8.73</v>
      </c>
    </row>
    <row r="825" spans="17:21" x14ac:dyDescent="0.25">
      <c r="Q825" s="3" t="s">
        <v>860</v>
      </c>
      <c r="R825" s="1">
        <v>8.25</v>
      </c>
      <c r="T825" t="str">
        <f t="shared" ref="T825:U825" si="819">Q823</f>
        <v>Daryn Dibley</v>
      </c>
      <c r="U825">
        <f t="shared" si="819"/>
        <v>8.73</v>
      </c>
    </row>
    <row r="826" spans="17:21" x14ac:dyDescent="0.25">
      <c r="Q826" s="3" t="s">
        <v>605</v>
      </c>
      <c r="R826" s="1">
        <v>8.25</v>
      </c>
      <c r="T826" t="str">
        <f t="shared" ref="T826:U826" si="820">Q824</f>
        <v>Sharl Southerill</v>
      </c>
      <c r="U826">
        <f t="shared" si="820"/>
        <v>8.25</v>
      </c>
    </row>
    <row r="827" spans="17:21" x14ac:dyDescent="0.25">
      <c r="Q827" s="3" t="s">
        <v>579</v>
      </c>
      <c r="R827" s="1">
        <v>8.25</v>
      </c>
      <c r="T827" t="str">
        <f t="shared" ref="T827:U827" si="821">Q825</f>
        <v>Tory Walas</v>
      </c>
      <c r="U827">
        <f t="shared" si="821"/>
        <v>8.25</v>
      </c>
    </row>
    <row r="828" spans="17:21" x14ac:dyDescent="0.25">
      <c r="Q828" s="3" t="s">
        <v>532</v>
      </c>
      <c r="R828" s="1">
        <v>8.25</v>
      </c>
      <c r="T828" t="str">
        <f t="shared" ref="T828:U828" si="822">Q826</f>
        <v>Mathew Goulter</v>
      </c>
      <c r="U828">
        <f t="shared" si="822"/>
        <v>8.25</v>
      </c>
    </row>
    <row r="829" spans="17:21" x14ac:dyDescent="0.25">
      <c r="Q829" s="3" t="s">
        <v>239</v>
      </c>
      <c r="R829" s="1">
        <v>8.25</v>
      </c>
      <c r="T829" t="str">
        <f t="shared" ref="T829:U829" si="823">Q827</f>
        <v>Maggy Baistow</v>
      </c>
      <c r="U829">
        <f t="shared" si="823"/>
        <v>8.25</v>
      </c>
    </row>
    <row r="830" spans="17:21" x14ac:dyDescent="0.25">
      <c r="Q830" s="3" t="s">
        <v>169</v>
      </c>
      <c r="R830" s="1">
        <v>8.25</v>
      </c>
      <c r="T830" t="str">
        <f t="shared" ref="T830:U830" si="824">Q828</f>
        <v>Laryssa Benediktovich</v>
      </c>
      <c r="U830">
        <f t="shared" si="824"/>
        <v>8.25</v>
      </c>
    </row>
    <row r="831" spans="17:21" x14ac:dyDescent="0.25">
      <c r="Q831" s="3" t="s">
        <v>873</v>
      </c>
      <c r="R831" s="1">
        <v>8.0549999999999997</v>
      </c>
      <c r="T831" t="str">
        <f t="shared" ref="T831:U831" si="825">Q829</f>
        <v>De Drewitt</v>
      </c>
      <c r="U831">
        <f t="shared" si="825"/>
        <v>8.25</v>
      </c>
    </row>
    <row r="832" spans="17:21" x14ac:dyDescent="0.25">
      <c r="Q832" s="3" t="s">
        <v>586</v>
      </c>
      <c r="R832" s="1">
        <v>8.0549999999999997</v>
      </c>
      <c r="T832" t="str">
        <f t="shared" ref="T832:U832" si="826">Q830</f>
        <v>Chance Rowthorn</v>
      </c>
      <c r="U832">
        <f t="shared" si="826"/>
        <v>8.25</v>
      </c>
    </row>
    <row r="833" spans="17:21" x14ac:dyDescent="0.25">
      <c r="Q833" s="3" t="s">
        <v>505</v>
      </c>
      <c r="R833" s="1">
        <v>8.0549999999999997</v>
      </c>
      <c r="T833" t="str">
        <f t="shared" ref="T833:U833" si="827">Q831</f>
        <v>Vanya Skullet</v>
      </c>
      <c r="U833">
        <f t="shared" si="827"/>
        <v>8.0549999999999997</v>
      </c>
    </row>
    <row r="834" spans="17:21" x14ac:dyDescent="0.25">
      <c r="Q834" s="3" t="s">
        <v>385</v>
      </c>
      <c r="R834" s="1">
        <v>8.0549999999999997</v>
      </c>
      <c r="T834" t="str">
        <f t="shared" ref="T834:U834" si="828">Q832</f>
        <v>Malynda Purbrick</v>
      </c>
      <c r="U834">
        <f t="shared" si="828"/>
        <v>8.0549999999999997</v>
      </c>
    </row>
    <row r="835" spans="17:21" x14ac:dyDescent="0.25">
      <c r="Q835" s="3" t="s">
        <v>466</v>
      </c>
      <c r="R835" s="1">
        <v>8.0549999999999997</v>
      </c>
      <c r="T835" t="str">
        <f t="shared" ref="T835:U835" si="829">Q833</f>
        <v>Kendra Glison</v>
      </c>
      <c r="U835">
        <f t="shared" si="829"/>
        <v>8.0549999999999997</v>
      </c>
    </row>
    <row r="836" spans="17:21" x14ac:dyDescent="0.25">
      <c r="Q836" s="3" t="s">
        <v>168</v>
      </c>
      <c r="R836" s="1">
        <v>8.0549999999999997</v>
      </c>
      <c r="T836" t="str">
        <f t="shared" ref="T836:U836" si="830">Q834</f>
        <v>Guenevere Ruggen</v>
      </c>
      <c r="U836">
        <f t="shared" si="830"/>
        <v>8.0549999999999997</v>
      </c>
    </row>
    <row r="837" spans="17:21" x14ac:dyDescent="0.25">
      <c r="Q837" s="3" t="s">
        <v>14</v>
      </c>
      <c r="R837" s="1">
        <v>8.0549999999999997</v>
      </c>
      <c r="T837" t="str">
        <f t="shared" ref="T837:U837" si="831">Q835</f>
        <v>Jennifer Wilkisson</v>
      </c>
      <c r="U837">
        <f t="shared" si="831"/>
        <v>8.0549999999999997</v>
      </c>
    </row>
    <row r="838" spans="17:21" x14ac:dyDescent="0.25">
      <c r="Q838" s="3" t="s">
        <v>248</v>
      </c>
      <c r="R838" s="1">
        <v>8.0549999999999997</v>
      </c>
      <c r="T838" t="str">
        <f t="shared" ref="T838:U838" si="832">Q836</f>
        <v>Chaddie Bennie</v>
      </c>
      <c r="U838">
        <f t="shared" si="832"/>
        <v>8.0549999999999997</v>
      </c>
    </row>
    <row r="839" spans="17:21" x14ac:dyDescent="0.25">
      <c r="Q839" s="3" t="s">
        <v>886</v>
      </c>
      <c r="R839" s="1">
        <v>7.77</v>
      </c>
      <c r="T839" t="str">
        <f t="shared" ref="T839:U839" si="833">Q837</f>
        <v>Abigail Tolworthy</v>
      </c>
      <c r="U839">
        <f t="shared" si="833"/>
        <v>8.0549999999999997</v>
      </c>
    </row>
    <row r="840" spans="17:21" x14ac:dyDescent="0.25">
      <c r="Q840" s="3" t="s">
        <v>630</v>
      </c>
      <c r="R840" s="1">
        <v>7.77</v>
      </c>
      <c r="T840" t="str">
        <f t="shared" ref="T840:U840" si="834">Q838</f>
        <v>Deonne Shortall</v>
      </c>
      <c r="U840">
        <f t="shared" si="834"/>
        <v>8.0549999999999997</v>
      </c>
    </row>
    <row r="841" spans="17:21" x14ac:dyDescent="0.25">
      <c r="Q841" s="3" t="s">
        <v>709</v>
      </c>
      <c r="R841" s="1">
        <v>7.77</v>
      </c>
      <c r="T841" t="str">
        <f t="shared" ref="T841:U841" si="835">Q839</f>
        <v>Vivyan Dunning</v>
      </c>
      <c r="U841">
        <f t="shared" si="835"/>
        <v>7.77</v>
      </c>
    </row>
    <row r="842" spans="17:21" x14ac:dyDescent="0.25">
      <c r="Q842" s="3" t="s">
        <v>764</v>
      </c>
      <c r="R842" s="1">
        <v>7.77</v>
      </c>
      <c r="T842" t="str">
        <f t="shared" ref="T842:U842" si="836">Q840</f>
        <v>Mitch Attwool</v>
      </c>
      <c r="U842">
        <f t="shared" si="836"/>
        <v>7.77</v>
      </c>
    </row>
    <row r="843" spans="17:21" x14ac:dyDescent="0.25">
      <c r="Q843" s="3" t="s">
        <v>705</v>
      </c>
      <c r="R843" s="1">
        <v>7.77</v>
      </c>
      <c r="T843" t="str">
        <f t="shared" ref="T843:U843" si="837">Q841</f>
        <v>Peyter Lauritzen</v>
      </c>
      <c r="U843">
        <f t="shared" si="837"/>
        <v>7.77</v>
      </c>
    </row>
    <row r="844" spans="17:21" x14ac:dyDescent="0.25">
      <c r="Q844" s="3" t="s">
        <v>845</v>
      </c>
      <c r="R844" s="1">
        <v>7.77</v>
      </c>
      <c r="T844" t="str">
        <f t="shared" ref="T844:U844" si="838">Q842</f>
        <v>Rudiger Di Bartolomeo</v>
      </c>
      <c r="U844">
        <f t="shared" si="838"/>
        <v>7.77</v>
      </c>
    </row>
    <row r="845" spans="17:21" x14ac:dyDescent="0.25">
      <c r="Q845" s="3" t="s">
        <v>892</v>
      </c>
      <c r="R845" s="1">
        <v>7.77</v>
      </c>
      <c r="T845" t="str">
        <f t="shared" ref="T845:U845" si="839">Q843</f>
        <v>Perice Eberz</v>
      </c>
      <c r="U845">
        <f t="shared" si="839"/>
        <v>7.77</v>
      </c>
    </row>
    <row r="846" spans="17:21" x14ac:dyDescent="0.25">
      <c r="Q846" s="3" t="s">
        <v>501</v>
      </c>
      <c r="R846" s="1">
        <v>7.77</v>
      </c>
      <c r="T846" t="str">
        <f t="shared" ref="T846:U846" si="840">Q844</f>
        <v>Terry Sheryn</v>
      </c>
      <c r="U846">
        <f t="shared" si="840"/>
        <v>7.77</v>
      </c>
    </row>
    <row r="847" spans="17:21" x14ac:dyDescent="0.25">
      <c r="Q847" s="3" t="s">
        <v>338</v>
      </c>
      <c r="R847" s="1">
        <v>7.77</v>
      </c>
      <c r="T847" t="str">
        <f t="shared" ref="T847:U847" si="841">Q845</f>
        <v>Warner Maddox</v>
      </c>
      <c r="U847">
        <f t="shared" si="841"/>
        <v>7.77</v>
      </c>
    </row>
    <row r="848" spans="17:21" x14ac:dyDescent="0.25">
      <c r="Q848" s="3" t="s">
        <v>170</v>
      </c>
      <c r="R848" s="1">
        <v>7.77</v>
      </c>
      <c r="T848" t="str">
        <f t="shared" ref="T848:U848" si="842">Q846</f>
        <v>Kathleen Diable</v>
      </c>
      <c r="U848">
        <f t="shared" si="842"/>
        <v>7.77</v>
      </c>
    </row>
    <row r="849" spans="17:21" x14ac:dyDescent="0.25">
      <c r="Q849" s="3" t="s">
        <v>307</v>
      </c>
      <c r="R849" s="1">
        <v>7.77</v>
      </c>
      <c r="T849" t="str">
        <f t="shared" ref="T849:U849" si="843">Q847</f>
        <v>Flory Crumpe</v>
      </c>
      <c r="U849">
        <f t="shared" si="843"/>
        <v>7.77</v>
      </c>
    </row>
    <row r="850" spans="17:21" x14ac:dyDescent="0.25">
      <c r="Q850" s="3" t="s">
        <v>73</v>
      </c>
      <c r="R850" s="1">
        <v>7.77</v>
      </c>
      <c r="T850" t="str">
        <f t="shared" ref="T850:U850" si="844">Q848</f>
        <v>Channa Belamy</v>
      </c>
      <c r="U850">
        <f t="shared" si="844"/>
        <v>7.77</v>
      </c>
    </row>
    <row r="851" spans="17:21" x14ac:dyDescent="0.25">
      <c r="Q851" s="3" t="s">
        <v>89</v>
      </c>
      <c r="R851" s="1">
        <v>7.77</v>
      </c>
      <c r="T851" t="str">
        <f t="shared" ref="T851:U851" si="845">Q849</f>
        <v>Emlynne Palfrey</v>
      </c>
      <c r="U851">
        <f t="shared" si="845"/>
        <v>7.77</v>
      </c>
    </row>
    <row r="852" spans="17:21" x14ac:dyDescent="0.25">
      <c r="Q852" s="3" t="s">
        <v>122</v>
      </c>
      <c r="R852" s="1">
        <v>7.77</v>
      </c>
      <c r="T852" t="str">
        <f t="shared" ref="T852:U852" si="846">Q850</f>
        <v>Arda Curley</v>
      </c>
      <c r="U852">
        <f t="shared" si="846"/>
        <v>7.77</v>
      </c>
    </row>
    <row r="853" spans="17:21" x14ac:dyDescent="0.25">
      <c r="Q853" s="3" t="s">
        <v>157</v>
      </c>
      <c r="R853" s="1">
        <v>7.77</v>
      </c>
      <c r="T853" t="str">
        <f t="shared" ref="T853:U853" si="847">Q851</f>
        <v>Bar O' Mahony</v>
      </c>
      <c r="U853">
        <f t="shared" si="847"/>
        <v>7.77</v>
      </c>
    </row>
    <row r="854" spans="17:21" x14ac:dyDescent="0.25">
      <c r="Q854" s="3" t="s">
        <v>896</v>
      </c>
      <c r="R854" s="1">
        <v>7.29</v>
      </c>
      <c r="T854" t="str">
        <f t="shared" ref="T854:U854" si="848">Q852</f>
        <v>Blake Kelloway</v>
      </c>
      <c r="U854">
        <f t="shared" si="848"/>
        <v>7.77</v>
      </c>
    </row>
    <row r="855" spans="17:21" x14ac:dyDescent="0.25">
      <c r="Q855" s="3" t="s">
        <v>585</v>
      </c>
      <c r="R855" s="1">
        <v>7.29</v>
      </c>
      <c r="T855" t="str">
        <f t="shared" ref="T855:U855" si="849">Q853</f>
        <v>Casi Gwinnett</v>
      </c>
      <c r="U855">
        <f t="shared" si="849"/>
        <v>7.77</v>
      </c>
    </row>
    <row r="856" spans="17:21" x14ac:dyDescent="0.25">
      <c r="Q856" s="3" t="s">
        <v>335</v>
      </c>
      <c r="R856" s="1">
        <v>7.29</v>
      </c>
      <c r="T856" t="str">
        <f t="shared" ref="T856:U856" si="850">Q854</f>
        <v>Wesley Giorgioni</v>
      </c>
      <c r="U856">
        <f t="shared" si="850"/>
        <v>7.29</v>
      </c>
    </row>
    <row r="857" spans="17:21" x14ac:dyDescent="0.25">
      <c r="Q857" s="3" t="s">
        <v>561</v>
      </c>
      <c r="R857" s="1">
        <v>7.29</v>
      </c>
      <c r="T857" t="str">
        <f t="shared" ref="T857:U857" si="851">Q855</f>
        <v>Malynda Glawsop</v>
      </c>
      <c r="U857">
        <f t="shared" si="851"/>
        <v>7.29</v>
      </c>
    </row>
    <row r="858" spans="17:21" x14ac:dyDescent="0.25">
      <c r="Q858" s="3" t="s">
        <v>91</v>
      </c>
      <c r="R858" s="1">
        <v>7.29</v>
      </c>
      <c r="T858" t="str">
        <f t="shared" ref="T858:U858" si="852">Q856</f>
        <v>Filip Antcliffe</v>
      </c>
      <c r="U858">
        <f t="shared" si="852"/>
        <v>7.29</v>
      </c>
    </row>
    <row r="859" spans="17:21" x14ac:dyDescent="0.25">
      <c r="Q859" s="3" t="s">
        <v>203</v>
      </c>
      <c r="R859" s="1">
        <v>7.29</v>
      </c>
      <c r="T859" t="str">
        <f t="shared" ref="T859:U859" si="853">Q857</f>
        <v>Lorenzo Yeoland</v>
      </c>
      <c r="U859">
        <f t="shared" si="853"/>
        <v>7.29</v>
      </c>
    </row>
    <row r="860" spans="17:21" x14ac:dyDescent="0.25">
      <c r="Q860" s="3" t="s">
        <v>308</v>
      </c>
      <c r="R860" s="1">
        <v>7.29</v>
      </c>
      <c r="T860" t="str">
        <f t="shared" ref="T860:U860" si="854">Q858</f>
        <v>Barney Chisnell</v>
      </c>
      <c r="U860">
        <f t="shared" si="854"/>
        <v>7.29</v>
      </c>
    </row>
    <row r="861" spans="17:21" x14ac:dyDescent="0.25">
      <c r="Q861" s="3" t="s">
        <v>716</v>
      </c>
      <c r="R861" s="1">
        <v>7.169999999999999</v>
      </c>
      <c r="T861" t="str">
        <f t="shared" ref="T861:U861" si="855">Q859</f>
        <v>Colene Elgey</v>
      </c>
      <c r="U861">
        <f t="shared" si="855"/>
        <v>7.29</v>
      </c>
    </row>
    <row r="862" spans="17:21" x14ac:dyDescent="0.25">
      <c r="Q862" s="3" t="s">
        <v>105</v>
      </c>
      <c r="R862" s="1">
        <v>7.169999999999999</v>
      </c>
      <c r="T862" t="str">
        <f t="shared" ref="T862:U862" si="856">Q860</f>
        <v>Emmaline Rasmus</v>
      </c>
      <c r="U862">
        <f t="shared" si="856"/>
        <v>7.29</v>
      </c>
    </row>
    <row r="863" spans="17:21" x14ac:dyDescent="0.25">
      <c r="Q863" s="3" t="s">
        <v>208</v>
      </c>
      <c r="R863" s="1">
        <v>7.169999999999999</v>
      </c>
      <c r="T863" t="str">
        <f t="shared" ref="T863:U863" si="857">Q861</f>
        <v>Pru Durban</v>
      </c>
      <c r="U863">
        <f t="shared" si="857"/>
        <v>7.169999999999999</v>
      </c>
    </row>
    <row r="864" spans="17:21" x14ac:dyDescent="0.25">
      <c r="Q864" s="3" t="s">
        <v>894</v>
      </c>
      <c r="R864" s="1">
        <v>6.75</v>
      </c>
      <c r="T864" t="str">
        <f t="shared" ref="T864:U864" si="858">Q862</f>
        <v>Belvia Umpleby</v>
      </c>
      <c r="U864">
        <f t="shared" si="858"/>
        <v>7.169999999999999</v>
      </c>
    </row>
    <row r="865" spans="17:21" x14ac:dyDescent="0.25">
      <c r="Q865" s="3" t="s">
        <v>706</v>
      </c>
      <c r="R865" s="1">
        <v>6.75</v>
      </c>
      <c r="T865" t="str">
        <f t="shared" ref="T865:U865" si="859">Q863</f>
        <v>Constanta Hatfull</v>
      </c>
      <c r="U865">
        <f t="shared" si="859"/>
        <v>7.169999999999999</v>
      </c>
    </row>
    <row r="866" spans="17:21" x14ac:dyDescent="0.25">
      <c r="Q866" s="3" t="s">
        <v>855</v>
      </c>
      <c r="R866" s="1">
        <v>6.75</v>
      </c>
      <c r="T866" t="str">
        <f t="shared" ref="T866:U866" si="860">Q864</f>
        <v>Waylin Hollingdale</v>
      </c>
      <c r="U866">
        <f t="shared" si="860"/>
        <v>6.75</v>
      </c>
    </row>
    <row r="867" spans="17:21" x14ac:dyDescent="0.25">
      <c r="Q867" s="3" t="s">
        <v>670</v>
      </c>
      <c r="R867" s="1">
        <v>6.75</v>
      </c>
      <c r="T867" t="str">
        <f t="shared" ref="T867:U867" si="861">Q865</f>
        <v>Perkin Stonner</v>
      </c>
      <c r="U867">
        <f t="shared" si="861"/>
        <v>6.75</v>
      </c>
    </row>
    <row r="868" spans="17:21" x14ac:dyDescent="0.25">
      <c r="Q868" s="3" t="s">
        <v>321</v>
      </c>
      <c r="R868" s="1">
        <v>6.75</v>
      </c>
      <c r="T868" t="str">
        <f t="shared" ref="T868:U868" si="862">Q866</f>
        <v>Timofei Woofinden</v>
      </c>
      <c r="U868">
        <f t="shared" si="862"/>
        <v>6.75</v>
      </c>
    </row>
    <row r="869" spans="17:21" x14ac:dyDescent="0.25">
      <c r="Q869" s="3" t="s">
        <v>619</v>
      </c>
      <c r="R869" s="1">
        <v>6.75</v>
      </c>
      <c r="T869" t="str">
        <f t="shared" ref="T869:U869" si="863">Q867</f>
        <v>Nico Hubert</v>
      </c>
      <c r="U869">
        <f t="shared" si="863"/>
        <v>6.75</v>
      </c>
    </row>
    <row r="870" spans="17:21" x14ac:dyDescent="0.25">
      <c r="Q870" s="3" t="s">
        <v>344</v>
      </c>
      <c r="R870" s="1">
        <v>6.75</v>
      </c>
      <c r="T870" t="str">
        <f t="shared" ref="T870:U870" si="864">Q868</f>
        <v>Fanchette Parlot</v>
      </c>
      <c r="U870">
        <f t="shared" si="864"/>
        <v>6.75</v>
      </c>
    </row>
    <row r="871" spans="17:21" x14ac:dyDescent="0.25">
      <c r="Q871" s="3" t="s">
        <v>31</v>
      </c>
      <c r="R871" s="1">
        <v>6.75</v>
      </c>
      <c r="T871" t="str">
        <f t="shared" ref="T871:U871" si="865">Q869</f>
        <v>Merrile Cobbledick</v>
      </c>
      <c r="U871">
        <f t="shared" si="865"/>
        <v>6.75</v>
      </c>
    </row>
    <row r="872" spans="17:21" x14ac:dyDescent="0.25">
      <c r="Q872" s="3" t="s">
        <v>62</v>
      </c>
      <c r="R872" s="1">
        <v>6.75</v>
      </c>
      <c r="T872" t="str">
        <f t="shared" ref="T872:U872" si="866">Q870</f>
        <v>Fransisco Malecky</v>
      </c>
      <c r="U872">
        <f t="shared" si="866"/>
        <v>6.75</v>
      </c>
    </row>
    <row r="873" spans="17:21" x14ac:dyDescent="0.25">
      <c r="Q873" s="3" t="s">
        <v>762</v>
      </c>
      <c r="R873" s="1">
        <v>5.97</v>
      </c>
      <c r="T873" t="str">
        <f t="shared" ref="T873:U873" si="867">Q871</f>
        <v>Alberto Hutchinson</v>
      </c>
      <c r="U873">
        <f t="shared" si="867"/>
        <v>6.75</v>
      </c>
    </row>
    <row r="874" spans="17:21" x14ac:dyDescent="0.25">
      <c r="Q874" s="3" t="s">
        <v>898</v>
      </c>
      <c r="R874" s="1">
        <v>5.97</v>
      </c>
      <c r="T874" t="str">
        <f t="shared" ref="T874:U874" si="868">Q872</f>
        <v>Annadiane Dykes</v>
      </c>
      <c r="U874">
        <f t="shared" si="868"/>
        <v>6.75</v>
      </c>
    </row>
    <row r="875" spans="17:21" x14ac:dyDescent="0.25">
      <c r="Q875" s="3" t="s">
        <v>657</v>
      </c>
      <c r="R875" s="1">
        <v>5.97</v>
      </c>
      <c r="T875" t="str">
        <f t="shared" ref="T875:U875" si="869">Q873</f>
        <v>Roxine Drivers</v>
      </c>
      <c r="U875">
        <f t="shared" si="869"/>
        <v>5.97</v>
      </c>
    </row>
    <row r="876" spans="17:21" x14ac:dyDescent="0.25">
      <c r="Q876" s="3" t="s">
        <v>755</v>
      </c>
      <c r="R876" s="1">
        <v>5.97</v>
      </c>
      <c r="T876" t="str">
        <f t="shared" ref="T876:U876" si="870">Q874</f>
        <v>Wiley Leopold</v>
      </c>
      <c r="U876">
        <f t="shared" si="870"/>
        <v>5.97</v>
      </c>
    </row>
    <row r="877" spans="17:21" x14ac:dyDescent="0.25">
      <c r="Q877" s="3" t="s">
        <v>878</v>
      </c>
      <c r="R877" s="1">
        <v>5.97</v>
      </c>
      <c r="T877" t="str">
        <f t="shared" ref="T877:U877" si="871">Q875</f>
        <v>Natka Leethem</v>
      </c>
      <c r="U877">
        <f t="shared" si="871"/>
        <v>5.97</v>
      </c>
    </row>
    <row r="878" spans="17:21" x14ac:dyDescent="0.25">
      <c r="Q878" s="3" t="s">
        <v>633</v>
      </c>
      <c r="R878" s="1">
        <v>5.97</v>
      </c>
      <c r="T878" t="str">
        <f t="shared" ref="T878:U878" si="872">Q876</f>
        <v>Rodger Raven</v>
      </c>
      <c r="U878">
        <f t="shared" si="872"/>
        <v>5.97</v>
      </c>
    </row>
    <row r="879" spans="17:21" x14ac:dyDescent="0.25">
      <c r="Q879" s="3" t="s">
        <v>882</v>
      </c>
      <c r="R879" s="1">
        <v>5.97</v>
      </c>
      <c r="T879" t="str">
        <f t="shared" ref="T879:U879" si="873">Q877</f>
        <v>Vicki Kirdsch</v>
      </c>
      <c r="U879">
        <f t="shared" si="873"/>
        <v>5.97</v>
      </c>
    </row>
    <row r="880" spans="17:21" x14ac:dyDescent="0.25">
      <c r="Q880" s="3" t="s">
        <v>748</v>
      </c>
      <c r="R880" s="1">
        <v>5.97</v>
      </c>
      <c r="T880" t="str">
        <f t="shared" ref="T880:U880" si="874">Q878</f>
        <v>Monica Fearon</v>
      </c>
      <c r="U880">
        <f t="shared" si="874"/>
        <v>5.97</v>
      </c>
    </row>
    <row r="881" spans="17:21" x14ac:dyDescent="0.25">
      <c r="Q881" s="3" t="s">
        <v>404</v>
      </c>
      <c r="R881" s="1">
        <v>5.97</v>
      </c>
      <c r="T881" t="str">
        <f t="shared" ref="T881:U881" si="875">Q879</f>
        <v>Violette Hellmore</v>
      </c>
      <c r="U881">
        <f t="shared" si="875"/>
        <v>5.97</v>
      </c>
    </row>
    <row r="882" spans="17:21" x14ac:dyDescent="0.25">
      <c r="Q882" s="3" t="s">
        <v>412</v>
      </c>
      <c r="R882" s="1">
        <v>5.97</v>
      </c>
      <c r="T882" t="str">
        <f t="shared" ref="T882:U882" si="876">Q880</f>
        <v>Rhona Lequeux</v>
      </c>
      <c r="U882">
        <f t="shared" si="876"/>
        <v>5.97</v>
      </c>
    </row>
    <row r="883" spans="17:21" x14ac:dyDescent="0.25">
      <c r="Q883" s="3" t="s">
        <v>485</v>
      </c>
      <c r="R883" s="1">
        <v>5.97</v>
      </c>
      <c r="T883" t="str">
        <f t="shared" ref="T883:U883" si="877">Q881</f>
        <v>Hazel Iacopini</v>
      </c>
      <c r="U883">
        <f t="shared" si="877"/>
        <v>5.97</v>
      </c>
    </row>
    <row r="884" spans="17:21" x14ac:dyDescent="0.25">
      <c r="Q884" s="3" t="s">
        <v>434</v>
      </c>
      <c r="R884" s="1">
        <v>5.97</v>
      </c>
      <c r="T884" t="str">
        <f t="shared" ref="T884:U884" si="878">Q882</f>
        <v>Herbie Peppard</v>
      </c>
      <c r="U884">
        <f t="shared" si="878"/>
        <v>5.97</v>
      </c>
    </row>
    <row r="885" spans="17:21" x14ac:dyDescent="0.25">
      <c r="Q885" s="3" t="s">
        <v>386</v>
      </c>
      <c r="R885" s="1">
        <v>5.97</v>
      </c>
      <c r="T885" t="str">
        <f t="shared" ref="T885:U885" si="879">Q883</f>
        <v>Judd De Leek</v>
      </c>
      <c r="U885">
        <f t="shared" si="879"/>
        <v>5.97</v>
      </c>
    </row>
    <row r="886" spans="17:21" x14ac:dyDescent="0.25">
      <c r="Q886" s="3" t="s">
        <v>177</v>
      </c>
      <c r="R886" s="1">
        <v>5.97</v>
      </c>
      <c r="T886" t="str">
        <f t="shared" ref="T886:U886" si="880">Q884</f>
        <v>Irv Hay</v>
      </c>
      <c r="U886">
        <f t="shared" si="880"/>
        <v>5.97</v>
      </c>
    </row>
    <row r="887" spans="17:21" x14ac:dyDescent="0.25">
      <c r="Q887" s="3" t="s">
        <v>772</v>
      </c>
      <c r="R887" s="1">
        <v>5.3699999999999992</v>
      </c>
      <c r="T887" t="str">
        <f t="shared" ref="T887:U887" si="881">Q885</f>
        <v>Gunilla Lynch</v>
      </c>
      <c r="U887">
        <f t="shared" si="881"/>
        <v>5.97</v>
      </c>
    </row>
    <row r="888" spans="17:21" x14ac:dyDescent="0.25">
      <c r="Q888" s="3" t="s">
        <v>614</v>
      </c>
      <c r="R888" s="1">
        <v>5.3699999999999992</v>
      </c>
      <c r="T888" t="str">
        <f t="shared" ref="T888:U888" si="882">Q886</f>
        <v>Chester Clowton</v>
      </c>
      <c r="U888">
        <f t="shared" si="882"/>
        <v>5.97</v>
      </c>
    </row>
    <row r="889" spans="17:21" x14ac:dyDescent="0.25">
      <c r="Q889" s="3" t="s">
        <v>613</v>
      </c>
      <c r="R889" s="1">
        <v>5.3699999999999992</v>
      </c>
      <c r="T889" t="str">
        <f t="shared" ref="T889:U889" si="883">Q887</f>
        <v>Sada Roseborough</v>
      </c>
      <c r="U889">
        <f t="shared" si="883"/>
        <v>5.3699999999999992</v>
      </c>
    </row>
    <row r="890" spans="17:21" x14ac:dyDescent="0.25">
      <c r="Q890" s="3" t="s">
        <v>163</v>
      </c>
      <c r="R890" s="1">
        <v>5.3699999999999992</v>
      </c>
      <c r="T890" t="str">
        <f t="shared" ref="T890:U890" si="884">Q888</f>
        <v>Melosa Kippen</v>
      </c>
      <c r="U890">
        <f t="shared" si="884"/>
        <v>5.3699999999999992</v>
      </c>
    </row>
    <row r="891" spans="17:21" x14ac:dyDescent="0.25">
      <c r="Q891" s="3" t="s">
        <v>68</v>
      </c>
      <c r="R891" s="1">
        <v>5.3699999999999992</v>
      </c>
      <c r="T891" t="str">
        <f t="shared" ref="T891:U891" si="885">Q889</f>
        <v>Melodie OIlier</v>
      </c>
      <c r="U891">
        <f t="shared" si="885"/>
        <v>5.3699999999999992</v>
      </c>
    </row>
    <row r="892" spans="17:21" x14ac:dyDescent="0.25">
      <c r="Q892" s="3" t="s">
        <v>241</v>
      </c>
      <c r="R892" s="1">
        <v>5.3699999999999992</v>
      </c>
      <c r="T892" t="str">
        <f t="shared" ref="T892:U892" si="886">Q890</f>
        <v>Cecily Stebbings</v>
      </c>
      <c r="U892">
        <f t="shared" si="886"/>
        <v>5.3699999999999992</v>
      </c>
    </row>
    <row r="893" spans="17:21" x14ac:dyDescent="0.25">
      <c r="Q893" s="3" t="s">
        <v>51</v>
      </c>
      <c r="R893" s="1">
        <v>5.3699999999999992</v>
      </c>
      <c r="T893" t="str">
        <f t="shared" ref="T893:U893" si="887">Q891</f>
        <v>Antone Harrold</v>
      </c>
      <c r="U893">
        <f t="shared" si="887"/>
        <v>5.3699999999999992</v>
      </c>
    </row>
    <row r="894" spans="17:21" x14ac:dyDescent="0.25">
      <c r="Q894" s="3" t="s">
        <v>872</v>
      </c>
      <c r="R894" s="1">
        <v>4.7549999999999999</v>
      </c>
      <c r="T894" t="str">
        <f t="shared" ref="T894:U894" si="888">Q892</f>
        <v>Delainey Kiddy</v>
      </c>
      <c r="U894">
        <f t="shared" si="888"/>
        <v>5.3699999999999992</v>
      </c>
    </row>
    <row r="895" spans="17:21" x14ac:dyDescent="0.25">
      <c r="Q895" s="3" t="s">
        <v>615</v>
      </c>
      <c r="R895" s="1">
        <v>4.7549999999999999</v>
      </c>
      <c r="T895" t="str">
        <f t="shared" ref="T895:U895" si="889">Q893</f>
        <v>Amity Chatto</v>
      </c>
      <c r="U895">
        <f t="shared" si="889"/>
        <v>5.3699999999999992</v>
      </c>
    </row>
    <row r="896" spans="17:21" x14ac:dyDescent="0.25">
      <c r="Q896" s="3" t="s">
        <v>146</v>
      </c>
      <c r="R896" s="1">
        <v>4.7549999999999999</v>
      </c>
      <c r="T896" t="str">
        <f t="shared" ref="T896:U896" si="890">Q894</f>
        <v>Vanna Le - Count</v>
      </c>
      <c r="U896">
        <f t="shared" si="890"/>
        <v>4.7549999999999999</v>
      </c>
    </row>
    <row r="897" spans="17:21" x14ac:dyDescent="0.25">
      <c r="Q897" s="3" t="s">
        <v>79</v>
      </c>
      <c r="R897" s="1">
        <v>4.4550000000000001</v>
      </c>
      <c r="T897" t="str">
        <f t="shared" ref="T897:U897" si="891">Q895</f>
        <v>Melvin Wharfe</v>
      </c>
      <c r="U897">
        <f t="shared" si="891"/>
        <v>4.7549999999999999</v>
      </c>
    </row>
    <row r="898" spans="17:21" x14ac:dyDescent="0.25">
      <c r="Q898" s="3" t="s">
        <v>784</v>
      </c>
      <c r="R898" s="1">
        <v>4.3650000000000002</v>
      </c>
      <c r="T898" t="str">
        <f t="shared" ref="T898:U898" si="892">Q896</f>
        <v>Caddric Atcheson</v>
      </c>
      <c r="U898">
        <f t="shared" si="892"/>
        <v>4.7549999999999999</v>
      </c>
    </row>
    <row r="899" spans="17:21" x14ac:dyDescent="0.25">
      <c r="Q899" s="3" t="s">
        <v>863</v>
      </c>
      <c r="R899" s="1">
        <v>4.3650000000000002</v>
      </c>
      <c r="T899" t="str">
        <f t="shared" ref="T899:U899" si="893">Q897</f>
        <v>Astrix Kitchingham</v>
      </c>
      <c r="U899">
        <f t="shared" si="893"/>
        <v>4.4550000000000001</v>
      </c>
    </row>
    <row r="900" spans="17:21" x14ac:dyDescent="0.25">
      <c r="Q900" s="3" t="s">
        <v>868</v>
      </c>
      <c r="R900" s="1">
        <v>4.125</v>
      </c>
      <c r="T900" t="str">
        <f t="shared" ref="T900:U900" si="894">Q898</f>
        <v>Selle Scurrer</v>
      </c>
      <c r="U900">
        <f t="shared" si="894"/>
        <v>4.3650000000000002</v>
      </c>
    </row>
    <row r="901" spans="17:21" x14ac:dyDescent="0.25">
      <c r="Q901" s="3" t="s">
        <v>467</v>
      </c>
      <c r="R901" s="1">
        <v>3.8849999999999998</v>
      </c>
      <c r="T901" t="str">
        <f t="shared" ref="T901:U901" si="895">Q899</f>
        <v>Trumaine Tewelson</v>
      </c>
      <c r="U901">
        <f t="shared" si="895"/>
        <v>4.3650000000000002</v>
      </c>
    </row>
    <row r="902" spans="17:21" x14ac:dyDescent="0.25">
      <c r="Q902" s="3" t="s">
        <v>398</v>
      </c>
      <c r="R902" s="1">
        <v>3.645</v>
      </c>
      <c r="T902" t="str">
        <f t="shared" ref="T902:U902" si="896">Q900</f>
        <v>Uriah Lethbrig</v>
      </c>
      <c r="U902">
        <f t="shared" si="896"/>
        <v>4.125</v>
      </c>
    </row>
    <row r="903" spans="17:21" x14ac:dyDescent="0.25">
      <c r="Q903" s="3" t="s">
        <v>533</v>
      </c>
      <c r="R903" s="1">
        <v>3.645</v>
      </c>
      <c r="T903" t="str">
        <f t="shared" ref="T903:U903" si="897">Q901</f>
        <v>Jeno Capey</v>
      </c>
      <c r="U903">
        <f t="shared" si="897"/>
        <v>3.8849999999999998</v>
      </c>
    </row>
    <row r="904" spans="17:21" x14ac:dyDescent="0.25">
      <c r="Q904" s="3" t="s">
        <v>804</v>
      </c>
      <c r="R904" s="1">
        <v>3.5849999999999995</v>
      </c>
      <c r="T904" t="str">
        <f t="shared" ref="T904:U904" si="898">Q902</f>
        <v>Harland Trematick</v>
      </c>
      <c r="U904">
        <f t="shared" si="898"/>
        <v>3.645</v>
      </c>
    </row>
    <row r="905" spans="17:21" x14ac:dyDescent="0.25">
      <c r="Q905" s="3" t="s">
        <v>610</v>
      </c>
      <c r="R905" s="1">
        <v>3.5849999999999995</v>
      </c>
      <c r="T905" t="str">
        <f t="shared" ref="T905:U905" si="899">Q903</f>
        <v>Laurence Ellingham</v>
      </c>
      <c r="U905">
        <f t="shared" si="899"/>
        <v>3.645</v>
      </c>
    </row>
    <row r="906" spans="17:21" x14ac:dyDescent="0.25">
      <c r="Q906" s="3" t="s">
        <v>221</v>
      </c>
      <c r="R906" s="1">
        <v>3.5849999999999995</v>
      </c>
      <c r="T906" t="str">
        <f t="shared" ref="T906:U906" si="900">Q904</f>
        <v>Sidney Gawen</v>
      </c>
      <c r="U906">
        <f t="shared" si="900"/>
        <v>3.5849999999999995</v>
      </c>
    </row>
    <row r="907" spans="17:21" x14ac:dyDescent="0.25">
      <c r="Q907" s="3" t="s">
        <v>283</v>
      </c>
      <c r="R907" s="1">
        <v>3.5849999999999995</v>
      </c>
      <c r="T907" t="str">
        <f t="shared" ref="T907:U907" si="901">Q905</f>
        <v>Melania Beadle</v>
      </c>
      <c r="U907">
        <f t="shared" si="901"/>
        <v>3.5849999999999995</v>
      </c>
    </row>
    <row r="908" spans="17:21" x14ac:dyDescent="0.25">
      <c r="Q908" s="3" t="s">
        <v>853</v>
      </c>
      <c r="R908" s="1">
        <v>2.9849999999999999</v>
      </c>
      <c r="T908" t="str">
        <f t="shared" ref="T908:U908" si="902">Q906</f>
        <v>Craggy Bril</v>
      </c>
      <c r="U908">
        <f t="shared" si="902"/>
        <v>3.5849999999999995</v>
      </c>
    </row>
    <row r="909" spans="17:21" x14ac:dyDescent="0.25">
      <c r="Q909" s="3" t="s">
        <v>769</v>
      </c>
      <c r="R909" s="1">
        <v>2.9849999999999999</v>
      </c>
      <c r="T909" t="str">
        <f t="shared" ref="T909:U909" si="903">Q907</f>
        <v>Drake Jevon</v>
      </c>
      <c r="U909">
        <f t="shared" si="903"/>
        <v>3.5849999999999995</v>
      </c>
    </row>
    <row r="910" spans="17:21" x14ac:dyDescent="0.25">
      <c r="Q910" s="3" t="s">
        <v>771</v>
      </c>
      <c r="R910" s="1">
        <v>2.9849999999999999</v>
      </c>
      <c r="T910" t="str">
        <f t="shared" ref="T910:U910" si="904">Q908</f>
        <v>Tiffany Scardafield</v>
      </c>
      <c r="U910">
        <f t="shared" si="904"/>
        <v>2.9849999999999999</v>
      </c>
    </row>
    <row r="911" spans="17:21" x14ac:dyDescent="0.25">
      <c r="Q911" s="3" t="s">
        <v>419</v>
      </c>
      <c r="R911" s="1">
        <v>2.9849999999999999</v>
      </c>
      <c r="T911" t="str">
        <f t="shared" ref="T911:U911" si="905">Q909</f>
        <v>Ruy Cancellieri</v>
      </c>
      <c r="U911">
        <f t="shared" si="905"/>
        <v>2.9849999999999999</v>
      </c>
    </row>
    <row r="912" spans="17:21" x14ac:dyDescent="0.25">
      <c r="Q912" s="3" t="s">
        <v>616</v>
      </c>
      <c r="R912" s="1">
        <v>2.9849999999999999</v>
      </c>
      <c r="T912" t="str">
        <f t="shared" ref="T912:U912" si="906">Q910</f>
        <v>Sacha Bruun</v>
      </c>
      <c r="U912">
        <f t="shared" si="906"/>
        <v>2.9849999999999999</v>
      </c>
    </row>
    <row r="913" spans="17:21" x14ac:dyDescent="0.25">
      <c r="Q913" s="3" t="s">
        <v>403</v>
      </c>
      <c r="R913" s="1">
        <v>2.9849999999999999</v>
      </c>
      <c r="T913" t="str">
        <f t="shared" ref="T913:U913" si="907">Q911</f>
        <v>Hillel Mairs</v>
      </c>
      <c r="U913">
        <f t="shared" si="907"/>
        <v>2.9849999999999999</v>
      </c>
    </row>
    <row r="914" spans="17:21" x14ac:dyDescent="0.25">
      <c r="Q914" s="3" t="s">
        <v>922</v>
      </c>
      <c r="R914" s="1">
        <v>2.6849999999999996</v>
      </c>
      <c r="T914" t="str">
        <f t="shared" ref="T914:U914" si="908">Q912</f>
        <v>Mercedes Acott</v>
      </c>
      <c r="U914">
        <f t="shared" si="908"/>
        <v>2.9849999999999999</v>
      </c>
    </row>
    <row r="915" spans="17:21" x14ac:dyDescent="0.25">
      <c r="Q915" s="3" t="s">
        <v>780</v>
      </c>
      <c r="R915" s="1">
        <v>2.6849999999999996</v>
      </c>
      <c r="T915" t="str">
        <f t="shared" ref="T915:U915" si="909">Q913</f>
        <v>Hayward Goulter</v>
      </c>
      <c r="U915">
        <f t="shared" si="909"/>
        <v>2.9849999999999999</v>
      </c>
    </row>
    <row r="916" spans="17:21" x14ac:dyDescent="0.25">
      <c r="Q916" s="3" t="s">
        <v>416</v>
      </c>
      <c r="R916" s="1">
        <v>2.6849999999999996</v>
      </c>
      <c r="T916" t="str">
        <f t="shared" ref="T916:U916" si="910">Q914</f>
        <v>Zeke Walisiak</v>
      </c>
      <c r="U916">
        <f t="shared" si="910"/>
        <v>2.6849999999999996</v>
      </c>
    </row>
    <row r="917" spans="17:21" x14ac:dyDescent="0.25">
      <c r="Q917" s="3" t="s">
        <v>8</v>
      </c>
      <c r="R917" s="1">
        <v>45134.255000000063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62C5A-92DF-40FE-825D-A903ADE560D4}">
  <dimension ref="D6"/>
  <sheetViews>
    <sheetView showGridLines="0" tabSelected="1" workbookViewId="0">
      <selection activeCell="T29" sqref="T29"/>
    </sheetView>
  </sheetViews>
  <sheetFormatPr defaultRowHeight="15" x14ac:dyDescent="0.25"/>
  <cols>
    <col min="4" max="4" width="10.5703125" bestFit="1" customWidth="1"/>
  </cols>
  <sheetData>
    <row r="6" spans="4:4" x14ac:dyDescent="0.25">
      <c r="D6" s="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896E4-751A-4F46-9981-ED43203ED367}">
  <dimension ref="C10:C12"/>
  <sheetViews>
    <sheetView workbookViewId="0">
      <selection activeCell="F16" sqref="F16"/>
    </sheetView>
  </sheetViews>
  <sheetFormatPr defaultRowHeight="15" x14ac:dyDescent="0.25"/>
  <sheetData>
    <row r="10" spans="3:3" x14ac:dyDescent="0.25">
      <c r="C10" t="s">
        <v>0</v>
      </c>
    </row>
    <row r="11" spans="3:3" x14ac:dyDescent="0.25">
      <c r="C11" t="s">
        <v>1</v>
      </c>
    </row>
    <row r="12" spans="3:3" x14ac:dyDescent="0.25">
      <c r="C12" t="s">
        <v>2</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D6347DC-FC4D-4234-B844-B644FCF16BE5}">
  <ds:schemaRefs/>
</ds:datastoreItem>
</file>

<file path=customXml/itemProps2.xml><?xml version="1.0" encoding="utf-8"?>
<ds:datastoreItem xmlns:ds="http://schemas.openxmlformats.org/officeDocument/2006/customXml" ds:itemID="{C14BF90B-9C34-46A6-A5E6-A8E469A5ECAC}">
  <ds:schemaRefs/>
</ds:datastoreItem>
</file>

<file path=customXml/itemProps3.xml><?xml version="1.0" encoding="utf-8"?>
<ds:datastoreItem xmlns:ds="http://schemas.openxmlformats.org/officeDocument/2006/customXml" ds:itemID="{CDA2E947-A165-4DC3-A829-4ECAF441A54C}">
  <ds:schemaRefs/>
</ds:datastoreItem>
</file>

<file path=customXml/itemProps4.xml><?xml version="1.0" encoding="utf-8"?>
<ds:datastoreItem xmlns:ds="http://schemas.openxmlformats.org/officeDocument/2006/customXml" ds:itemID="{5FFBC936-C9C1-4C11-9EA8-C309D1FA7F7B}">
  <ds:schemaRefs/>
</ds:datastoreItem>
</file>

<file path=customXml/itemProps5.xml><?xml version="1.0" encoding="utf-8"?>
<ds:datastoreItem xmlns:ds="http://schemas.openxmlformats.org/officeDocument/2006/customXml" ds:itemID="{A8DB1766-938A-4B91-AE3F-1ED17D5516F5}">
  <ds:schemaRefs/>
</ds:datastoreItem>
</file>

<file path=customXml/itemProps6.xml><?xml version="1.0" encoding="utf-8"?>
<ds:datastoreItem xmlns:ds="http://schemas.openxmlformats.org/officeDocument/2006/customXml" ds:itemID="{28E5FF82-8E4B-41A7-B80C-A3620F66C2E8}">
  <ds:schemaRefs/>
</ds:datastoreItem>
</file>

<file path=customXml/itemProps7.xml><?xml version="1.0" encoding="utf-8"?>
<ds:datastoreItem xmlns:ds="http://schemas.openxmlformats.org/officeDocument/2006/customXml" ds:itemID="{CCFFE16C-F558-45B1-ABA7-0A0F296DCD91}">
  <ds:schemaRefs/>
</ds:datastoreItem>
</file>

<file path=customXml/itemProps8.xml><?xml version="1.0" encoding="utf-8"?>
<ds:datastoreItem xmlns:ds="http://schemas.openxmlformats.org/officeDocument/2006/customXml" ds:itemID="{10D7832A-6073-4D2E-A1D5-B0338EC2C3C5}">
  <ds:schemaRefs/>
</ds:datastoreItem>
</file>

<file path=customXml/itemProps9.xml><?xml version="1.0" encoding="utf-8"?>
<ds:datastoreItem xmlns:ds="http://schemas.openxmlformats.org/officeDocument/2006/customXml" ds:itemID="{C7BE370F-7313-40AF-9ECD-A65FB7023FF6}">
  <ds:schemaRefs/>
</ds:datastoreItem>
</file>

<file path=customXml/itemProps10.xml><?xml version="1.0" encoding="utf-8"?>
<ds:datastoreItem xmlns:ds="http://schemas.openxmlformats.org/officeDocument/2006/customXml" ds:itemID="{F5426C17-BB86-4D92-8E05-9EE089EE0368}">
  <ds:schemaRefs/>
</ds:datastoreItem>
</file>

<file path=customXml/itemProps11.xml><?xml version="1.0" encoding="utf-8"?>
<ds:datastoreItem xmlns:ds="http://schemas.openxmlformats.org/officeDocument/2006/customXml" ds:itemID="{EF459959-E153-4B0C-B85A-174A800DFB9B}">
  <ds:schemaRefs/>
</ds:datastoreItem>
</file>

<file path=customXml/itemProps12.xml><?xml version="1.0" encoding="utf-8"?>
<ds:datastoreItem xmlns:ds="http://schemas.openxmlformats.org/officeDocument/2006/customXml" ds:itemID="{98A27549-1610-4BF6-A355-6F9735E9FB26}">
  <ds:schemaRefs/>
</ds:datastoreItem>
</file>

<file path=customXml/itemProps13.xml><?xml version="1.0" encoding="utf-8"?>
<ds:datastoreItem xmlns:ds="http://schemas.openxmlformats.org/officeDocument/2006/customXml" ds:itemID="{9B1F3201-B20B-4182-8C14-9AF058E4D086}">
  <ds:schemaRefs>
    <ds:schemaRef ds:uri="http://schemas.microsoft.com/DataMashup"/>
  </ds:schemaRefs>
</ds:datastoreItem>
</file>

<file path=customXml/itemProps14.xml><?xml version="1.0" encoding="utf-8"?>
<ds:datastoreItem xmlns:ds="http://schemas.openxmlformats.org/officeDocument/2006/customXml" ds:itemID="{D3988BE7-1265-4550-88BC-56C6DEEA5E98}">
  <ds:schemaRefs/>
</ds:datastoreItem>
</file>

<file path=customXml/itemProps15.xml><?xml version="1.0" encoding="utf-8"?>
<ds:datastoreItem xmlns:ds="http://schemas.openxmlformats.org/officeDocument/2006/customXml" ds:itemID="{1BD6287E-C5CC-4545-9432-BDE95651092B}">
  <ds:schemaRefs/>
</ds:datastoreItem>
</file>

<file path=customXml/itemProps16.xml><?xml version="1.0" encoding="utf-8"?>
<ds:datastoreItem xmlns:ds="http://schemas.openxmlformats.org/officeDocument/2006/customXml" ds:itemID="{B6A71894-D0E4-407E-A6EE-12CD2CF6B6BD}">
  <ds:schemaRefs/>
</ds:datastoreItem>
</file>

<file path=customXml/itemProps17.xml><?xml version="1.0" encoding="utf-8"?>
<ds:datastoreItem xmlns:ds="http://schemas.openxmlformats.org/officeDocument/2006/customXml" ds:itemID="{DE458909-4B05-4B08-871A-BE6FED404A9A}">
  <ds:schemaRefs/>
</ds:datastoreItem>
</file>

<file path=customXml/itemProps18.xml><?xml version="1.0" encoding="utf-8"?>
<ds:datastoreItem xmlns:ds="http://schemas.openxmlformats.org/officeDocument/2006/customXml" ds:itemID="{E9D29223-9F2F-45E2-834A-83D769518D0F}">
  <ds:schemaRefs/>
</ds:datastoreItem>
</file>

<file path=customXml/itemProps19.xml><?xml version="1.0" encoding="utf-8"?>
<ds:datastoreItem xmlns:ds="http://schemas.openxmlformats.org/officeDocument/2006/customXml" ds:itemID="{8E380792-CCBD-4929-9645-28CF2FEE8D07}">
  <ds:schemaRefs/>
</ds:datastoreItem>
</file>

<file path=customXml/itemProps20.xml><?xml version="1.0" encoding="utf-8"?>
<ds:datastoreItem xmlns:ds="http://schemas.openxmlformats.org/officeDocument/2006/customXml" ds:itemID="{2BFA4A06-1120-462B-9D06-70BED290090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temporary Dashboards</vt:lpstr>
      <vt:lpstr>KPI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Deddy Andri Suharto</dc:creator>
  <cp:lastModifiedBy>Deddy Andri Suharto</cp:lastModifiedBy>
  <dcterms:created xsi:type="dcterms:W3CDTF">2024-05-27T05:03:59Z</dcterms:created>
  <dcterms:modified xsi:type="dcterms:W3CDTF">2024-06-04T10:51:05Z</dcterms:modified>
</cp:coreProperties>
</file>